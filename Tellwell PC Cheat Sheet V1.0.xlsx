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NTENTS GUIDE" sheetId="1" r:id="rId5"/>
    <sheet state="hidden" name="2025 MULTICURRENCY PRICE LIST" sheetId="2" r:id="rId6"/>
    <sheet state="hidden" name="UPDATED-MULTICURRENCY PRICE LIS" sheetId="3" r:id="rId7"/>
    <sheet state="visible" name="CONSULTATION RESOURCES" sheetId="4" r:id="rId8"/>
    <sheet state="visible" name="COUNTRY CODE GUIDE" sheetId="5" r:id="rId9"/>
    <sheet state="visible" name="SPIELS" sheetId="6" r:id="rId10"/>
    <sheet state="visible" name="INVOICING GUIDELINES, POLICIES " sheetId="7" r:id="rId11"/>
    <sheet state="visible" name="COMPANY INFO &amp; TEAM DIRECTORY" sheetId="8" r:id="rId12"/>
    <sheet state="visible" name="CADENCESWORKFLOWS" sheetId="9" r:id="rId13"/>
    <sheet state="hidden" name="PRICE LIST" sheetId="10" r:id="rId14"/>
    <sheet state="hidden" name="MULTICURRENCY PRICE LIST" sheetId="11" r:id="rId15"/>
    <sheet state="visible" name="TRAININGMEMOSTUTORIAL VIDEOS" sheetId="12" r:id="rId16"/>
    <sheet state="hidden" name="RECOMMENDATION GUIDE" sheetId="13" r:id="rId17"/>
    <sheet state="hidden" name="Instructions" sheetId="14" r:id="rId18"/>
    <sheet state="hidden" name="COUNTRY CODE LOOK-UP" sheetId="15" r:id="rId19"/>
    <sheet state="hidden" name="DialCodes" sheetId="16" r:id="rId20"/>
    <sheet state="hidden" name="LocalPatterns" sheetId="17" r:id="rId21"/>
    <sheet state="hidden" name="AppsScript" sheetId="18" r:id="rId22"/>
  </sheets>
  <definedNames>
    <definedName hidden="1" localSheetId="1" name="_xlnm._FilterDatabase">'2025 MULTICURRENCY PRICE LIST'!$A$1:$B$993</definedName>
    <definedName hidden="1" localSheetId="2" name="_xlnm._FilterDatabase">'UPDATED-MULTICURRENCY PRICE LIS'!$D$1:$D$800</definedName>
    <definedName hidden="1" localSheetId="9" name="_xlnm._FilterDatabase">'PRICE LIST'!$B$5:$B$139</definedName>
    <definedName hidden="1" localSheetId="10" name="_xlnm._FilterDatabase">'MULTICURRENCY PRICE LIST'!$D$1:$D$1002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5">
      <text>
        <t xml:space="preserve">Pricing needs to be updated for CAD
	-Simon Page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6">
      <text>
        <t xml:space="preserve">Pricing needs to be updated for CAD
	-Simon Page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tc={26915aef-71f6-459b-bf2f-06406a0e56d9}</author>
    <author>tc={bed39ccc-e4cb-42c1-88d5-27e532b54009}</author>
    <author>tc={ff368e28-19d2-4e09-99bc-7602127fd8f6}</author>
  </authors>
  <commentList>
    <comment authorId="0" xr:uid="{26915aef-71f6-459b-bf2f-06406a0e56d9}" ref="C9">
      <text>
        <t xml:space="preserve">[Threaded comment]
 Your version of Excel allows you to read this threaded comment; however, any edits to it will get removed if the file is opened in a newer version of Excel. Learn more: https://go.microsoft.com/fwlink/?linkid=870924
Comment:
	@jh@tellwellpublishing.com suggest pulling down to its own line so PC can clearly distinguish that "Sample Illustrations" are currently only housed on USA site
Assigned to jh@tellwellpublishing.com
</t>
      </text>
    </comment>
    <comment authorId="1" xr:uid="{bed39ccc-e4cb-42c1-88d5-27e532b54009}" ref="C40">
      <text>
        <t xml:space="preserve">[Threaded comment]
 Your version of Excel allows you to read this threaded comment; however, any edits to it will get removed if the file is opened in a newer version of Excel. Learn more: https://go.microsoft.com/fwlink/?linkid=870924
Comment:
	@jh@tellwellpublishing.com should probably use gender neutral references throughout.... so "he" becomes "s/he"
Assigned to jh@tellwellpublishing.com
</t>
      </text>
    </comment>
    <comment authorId="2" xr:uid="{ff368e28-19d2-4e09-99bc-7602127fd8f6}" ref="B44">
      <text>
        <t xml:space="preserve">[Threaded comment]
 Your version of Excel allows you to read this threaded comment; however, any edits to it will get removed if the file is opened in a newer version of Excel. Learn more: https://go.microsoft.com/fwlink/?linkid=870924
Comment:
	@jh@tellwellpublishing.com Do we have an ROI calculator so author can play around with a few basic assumptions to see what they might be able to net financially over the life of the project based on a few broad assumptions?..... such a calculator would need to clearly state that not all projects have, or are intended to have, a commercial return and there are many valid reasons why people invest in a producing a professional book that may not have a large commercial audience. Also instead of a calculator, we could write a whitepaper to profile 3 or 4 author personas and the economic investment/return they had.
Assigned to jh@tellwellpublishing.com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tc={cee2e1ab-4616-401b-9059-a2f21ec1f210}</author>
  </authors>
  <commentList>
    <comment authorId="0" ref="B31">
      <text>
        <t xml:space="preserve">NOT REQUIRED TO ASK ALL Qs. CHOOSE THOSE THAT ARE APPROPRIATE FOR THE GENRE.</t>
      </text>
    </comment>
    <comment authorId="0" ref="B61">
      <text>
        <t xml:space="preserve">OPTIONAL SPIELS CAN BE SET ASIDE IF YOU FEEL AUTHOR HAS SHORT ATTENTION SPAN AND DOES NOT REQUIRE AN EMOTIONAL APPROACH. 
OPTIONAL SPIELS CAN ALSO BE USED AS ANSWERS/ADLIBS/FURTHER COMMENTS WHENEVER APPROPRIATE. </t>
      </text>
    </comment>
    <comment authorId="0" ref="B43">
      <text>
        <t xml:space="preserve">YOU CAN ASK THESE ANYTIME. WHENEVER APPROPRIATE. </t>
      </text>
    </comment>
    <comment authorId="0" ref="B59">
      <text>
        <t xml:space="preserve">JUST REMOVE THE PARTS WHICH ARE NOT APPLICABLE WHEN RECOMMENDING A LOW-END PACKAGE</t>
      </text>
    </comment>
    <comment authorId="0" ref="E61">
      <text>
        <t xml:space="preserve">OPTIONAL SPIELS CAN BE SET ASIDE IF YOU FEEL AUTHOR HAS SHORT ATTENTION SPAN AND DOES NOT REQUIRE AN EMOTIONAL APPROACH. 
OPTIONAL SPIELS CAN ALSO BE USED AS ANSWERS/ADLIBS/FURTHER COMMENTS WHENEVER APPROPRIATE. </t>
      </text>
    </comment>
    <comment authorId="0" ref="H61">
      <text>
        <t xml:space="preserve">OPTIONAL SPIELS CAN BE SET ASIDE IF YOU FEEL AUTHOR HAS SHORT ATTENTION SPAN AND DOES NOT REQUIRE AN EMOTIONAL APPROACH. 
OPTIONAL SPIELS CAN ALSO BE USED AS ANSWERS/ADLIBS/FURTHER COMMENTS WHENEVER APPROPRIATE. </t>
      </text>
    </comment>
    <comment authorId="0" ref="L61">
      <text>
        <t xml:space="preserve">OPTIONAL SPIELS CAN BE SET ASIDE IF YOU FEEL AUTHOR HAS SHORT ATTENTION SPAN AND DOES NOT REQUIRE AN EMOTIONAL APPROACH. 
OPTIONAL SPIELS CAN ALSO BE USED AS ANSWERS/ADLIBS/FURTHER COMMENTS WHENEVER APPROPRIATE. </t>
      </text>
    </comment>
    <comment authorId="1" xr:uid="{cee2e1ab-4616-401b-9059-a2f21ec1f210}" ref="E7">
      <text>
        <t xml:space="preserve">[Threaded comment]
 Your version of Excel allows you to read this threaded comment; however, any edits to it will get removed if the file is opened in a newer version of Excel. Learn more: https://go.microsoft.com/fwlink/?linkid=870924
Comment:
	@jh@tellwellpublishing.com confusing as there is no UK phone number listed. Need to list it or to clarify which "direct number" is to be given to UK prospects.
Assigned to jh@tellwellpublishing.com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tc={2acfb400-bf86-4a19-a554-a93e22b19f7f}</author>
    <author>tc={75152766-3ef0-4cf5-8ee1-7960f3381f49}</author>
    <author>tc={79a68aa2-c453-4a5c-9b40-148ded9ed947}</author>
    <author>tc={7d79aa93-a7ce-4eba-9017-af26a58ef56b}</author>
    <author>tc={cb7a3d67-d798-4e27-ba58-f34a075e38f3}</author>
    <author>tc={d55e1b43-e930-4662-942e-ef33c899d34c}</author>
  </authors>
  <commentList>
    <comment authorId="0" xr:uid="{2acfb400-bf86-4a19-a554-a93e22b19f7f}" ref="C44">
      <text>
        <t xml:space="preserve">[Threaded comment]
 Your version of Excel allows you to read this threaded comment; however, any edits to it will get removed if the file is opened in a newer version of Excel. Learn more: https://go.microsoft.com/fwlink/?linkid=870924
Comment:
	@jh@tellwellpublishing.com this cel needs to wrap or text shortened as it is getting clipped and not fully readable with current cell width
Assigned to jh@tellwellpublishing.com
</t>
      </text>
    </comment>
    <comment authorId="1" xr:uid="{75152766-3ef0-4cf5-8ee1-7960f3381f49}" ref="F43">
      <text>
        <t xml:space="preserve">[Threaded comment]
 Your version of Excel allows you to read this threaded comment; however, any edits to it will get removed if the file is opened in a newer version of Excel. Learn more: https://go.microsoft.com/fwlink/?linkid=870924
Comment:
	@jh@tellwellpublishing.com formatting fix needed as this cel is being covered by 'Alberta'... probably need to move heading text up one row
Assigned to jh@tellwellpublishing.com
</t>
      </text>
    </comment>
    <comment authorId="2" xr:uid="{79a68aa2-c453-4a5c-9b40-148ded9ed947}" ref="D17">
      <text>
        <t xml:space="preserve">[Threaded comment]
 Your version of Excel allows you to read this threaded comment; however, any edits to it will get removed if the file is opened in a newer version of Excel. Learn more: https://go.microsoft.com/fwlink/?linkid=870924
Comment:
	@jh@tellwellpublishing.com please replace with "ARC Landing Page"
Assigned to jh@tellwellpublishing.com
</t>
      </text>
    </comment>
    <comment authorId="3" xr:uid="{7d79aa93-a7ce-4eba-9017-af26a58ef56b}" ref="F42">
      <text>
        <t xml:space="preserve">[Threaded comment]
 Your version of Excel allows you to read this threaded comment; however, any edits to it will get removed if the file is opened in a newer version of Excel. Learn more: https://go.microsoft.com/fwlink/?linkid=870924
Comment:
	@jh@tellwellpublishing.com do we charge sales tax in US? Aus? UK? If not, probably need to state that specifically so it is clear to PCs, otherwise state the rares to be charged in those jurisdictions.
Assigned to jh@tellwellpublishing.com
</t>
      </text>
    </comment>
    <comment authorId="4" xr:uid="{cb7a3d67-d798-4e27-ba58-f34a075e38f3}" ref="F44">
      <text>
        <t xml:space="preserve">[Threaded comment]
 Your version of Excel allows you to read this threaded comment; however, any edits to it will get removed if the file is opened in a newer version of Excel. Learn more: https://go.microsoft.com/fwlink/?linkid=870924
Comment:
	@jh@tellwellpublishing.com abbreviation for Newfoundland is "NFLD", not just "NFL"
Assigned to jh@tellwellpublishing.com
</t>
      </text>
    </comment>
    <comment authorId="5" xr:uid="{d55e1b43-e930-4662-942e-ef33c899d34c}" ref="D19">
      <text>
        <t xml:space="preserve">[Threaded comment]
 Your version of Excel allows you to read this threaded comment; however, any edits to it will get removed if the file is opened in a newer version of Excel. Learn more: https://go.microsoft.com/fwlink/?linkid=870924
Comment:
	@jh@tellwellpublishing.com Please replace with Social Media Graphics (5 items)
Assigned to jh@tellwellpublishing.com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tc={ac5bc401-ac6f-491d-a8bf-5d54e5241ff9}</author>
    <author>tc={bfa7cac1-e243-4d4d-a658-d98a79e23388}</author>
  </authors>
  <commentList>
    <comment authorId="0" xr:uid="{ac5bc401-ac6f-491d-a8bf-5d54e5241ff9}" ref="B22">
      <text>
        <t xml:space="preserve">[Threaded comment]
 Your version of Excel allows you to read this threaded comment; however, any edits to it will get removed if the file is opened in a newer version of Excel. Learn more: https://go.microsoft.com/fwlink/?linkid=870924
Comment:
	@jh@tellwellpublishing.com  there are many Slack channels, perhaps label this as something like "Guide to Slack Channels most used by PCs" or "Essential Slack Channels for PCs"
Assigned to jh@tellwellpublishing.com
</t>
      </text>
    </comment>
    <comment authorId="1" xr:uid="{bfa7cac1-e243-4d4d-a658-d98a79e23388}" ref="C17">
      <text>
        <t xml:space="preserve">[Threaded comment]
 Your version of Excel allows you to read this threaded comment; however, any edits to it will get removed if the file is opened in a newer version of Excel. Learn more: https://go.microsoft.com/fwlink/?linkid=870924
Comment:
	@jh@tellwellpublishing.com this just goes to a pre-populated google search for Tellwell reviews... but is there not such a thing as Google 5-star ratings?
Assigned to jh@tellwellpublishing.com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While incoming calls take precedence over others, it should not interrupt an already ongoing consult/call. Meaning, incoming calls can only cut through the list in between calls when PC is not engaged with another author. </t>
      </text>
    </comment>
    <comment authorId="0" ref="N10">
      <text>
        <t xml:space="preserve">Sending follow-up emails to your open opportunities is good practice. A quick check-in email asking if author has any questions about the offer/proposal you sent is already sufficient.
Some PCs send out estimates/proposals every after call. Another way of doing it is to create them before you end your day. In that way, you have more time to make considerations for your offer. Just make sure you get them sent without fail before the day ends. </t>
      </text>
    </comment>
    <comment authorId="0" ref="B10">
      <text>
        <t xml:space="preserve">Some emails require more time and thinking. Feel free to leave some for later!</t>
      </text>
    </comment>
    <comment authorId="0" ref="F10">
      <text>
        <t xml:space="preserve">Build your call list for the day. Start by checking your calendly dashboard for appointments scheduled within the day. You can see them under 'Upcoming Events'. Authors who booked appointments for the day are your TOP PRIORITY and should be the first ones in your call list. Note that your call list can be in any form. Depending on what would work for you. You can refer to the lists in calendly and Zoho CRM separately or you can create a totally different one in your sticky notes or notepad. 
Then, check your CRM Dashboard and review the assigned leads for the day. You may send your 6/12 month email template as you go through each 6-12 month leads and take note of the Complete and 1 month ones. 
Complete your call list of the day by going back to your leads report. Uncontacted w/ Complete or 1 Month MS status should be your next priority. If you still have room for some more calls, going through your Attempted w/ Complete or 1 Month MS leads.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tc={b52152c3-55a9-4274-8218-789f773c063e}</author>
    <author>tc={be137ff4-7547-4591-8a1e-30dc233f41f3}</author>
  </authors>
  <commentList>
    <comment authorId="0" xr:uid="{b52152c3-55a9-4274-8218-789f773c063e}" ref="A2">
      <text>
        <t xml:space="preserve">[Threaded comment]
 Your version of Excel allows you to read this threaded comment; however, any edits to it will get removed if the file is opened in a newer version of Excel. Learn more: https://go.microsoft.com/fwlink/?linkid=870924
Comment:
	@jh@tellwellpublishing.com since you have the space and this document is in part a training doc for new PCs, I suggest in the legend you spell out "OC" and "MC" so it's clear what that means....so for example, just in the legend write "PRIOR TO MARKETING CONSULTATION (MC)" rather than just "PRIOR TO MC"
Assigned to jh@tellwellpublishing.com
</t>
      </text>
    </comment>
    <comment authorId="1" xr:uid="{be137ff4-7547-4591-8a1e-30dc233f41f3}" ref="D6">
      <text>
        <t xml:space="preserve">[Threaded comment]
 Your version of Excel allows you to read this threaded comment; however, any edits to it will get removed if the file is opened in a newer version of Excel. Learn more: https://go.microsoft.com/fwlink/?linkid=870924
Comment:
	@jh@tellwellpublishing.com the "N/A" is initially confusing because of the legend reference to "N/A" which doesn't apply to this column. Instead of abbreviating these cells, I suggest you just fill them with black fill which will clearly communicate that these cells are not applicable to the sales line item
Assigned to jh@tellwellpublishing.com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tc={04264d65-5ed2-48f6-bd0b-6d16b1262151}</author>
    <author>tc={b60406c8-c1b5-4d6a-94e4-0c3e570ea032}</author>
  </authors>
  <commentList>
    <comment authorId="0" xr:uid="{04264d65-5ed2-48f6-bd0b-6d16b1262151}" ref="E2">
      <text>
        <t xml:space="preserve">[Threaded comment]
 Your version of Excel allows you to read this threaded comment; however, any edits to it will get removed if the file is opened in a newer version of Excel. Learn more: https://go.microsoft.com/fwlink/?linkid=870924
Comment:
	@jh@tellwellpublishing.com shouldn't we replace all "core customers" with "potential core customer" since we are talking about prospects here. Also in #5, suggest replacing "his" with "his/her" or some other gender neutral re-wording
Assigned to jh@tellwellpublishing.com
</t>
      </text>
    </comment>
    <comment authorId="1" xr:uid="{b60406c8-c1b5-4d6a-94e4-0c3e570ea032}" ref="C13">
      <text>
        <t xml:space="preserve">[Threaded comment]
 Your version of Excel allows you to read this threaded comment; however, any edits to it will get removed if the file is opened in a newer version of Excel. Learn more: https://go.microsoft.com/fwlink/?linkid=870924
Comment:
	@jh@tellwellpublishing.com correct spelling of "BUSSINESS" to "BUSINESS" with 1 'S'
Assigned to jh@tellwellpublishing.com
</t>
      </text>
    </comment>
  </commentList>
</comments>
</file>

<file path=xl/sharedStrings.xml><?xml version="1.0" encoding="utf-8"?>
<sst xmlns="http://schemas.openxmlformats.org/spreadsheetml/2006/main" count="4110" uniqueCount="1347">
  <si>
    <t>Name</t>
  </si>
  <si>
    <t>Service Type</t>
  </si>
  <si>
    <t>CAD</t>
  </si>
  <si>
    <t>AUD</t>
  </si>
  <si>
    <t>USD</t>
  </si>
  <si>
    <t>GBP</t>
  </si>
  <si>
    <t>EUR</t>
  </si>
  <si>
    <t>Children's Standard Package</t>
  </si>
  <si>
    <t>AAA Publishing Package</t>
  </si>
  <si>
    <t>WEBSITE LINKS</t>
  </si>
  <si>
    <t>£1,099.000</t>
  </si>
  <si>
    <t>Standard Package</t>
  </si>
  <si>
    <t>Children's Illustrated Package</t>
  </si>
  <si>
    <t>£1,899.000</t>
  </si>
  <si>
    <t>Children's Professional Package</t>
  </si>
  <si>
    <t>Id</t>
  </si>
  <si>
    <t>Professional Package</t>
  </si>
  <si>
    <t>CAN</t>
  </si>
  <si>
    <t>£2,099.000</t>
  </si>
  <si>
    <t>All-Inclusive Package</t>
  </si>
  <si>
    <t>£3,799.000</t>
  </si>
  <si>
    <t>Children's All-Inclusive Package</t>
  </si>
  <si>
    <t>£3,999.000</t>
  </si>
  <si>
    <t>ZohoItemId</t>
  </si>
  <si>
    <t>Children's Traditional Package</t>
  </si>
  <si>
    <t>Type</t>
  </si>
  <si>
    <t>£5,499.000</t>
  </si>
  <si>
    <t>Traditional Package</t>
  </si>
  <si>
    <t>£7,699.000</t>
  </si>
  <si>
    <t>HOME</t>
  </si>
  <si>
    <t>Administration Fee (up to 3 months)</t>
  </si>
  <si>
    <t>Admin Fee</t>
  </si>
  <si>
    <t>RatePer</t>
  </si>
  <si>
    <t>£20.000</t>
  </si>
  <si>
    <t>Administration Fee (up to 6 months)</t>
  </si>
  <si>
    <t>£40.000</t>
  </si>
  <si>
    <t>Audiobooks (words above 30,000)</t>
  </si>
  <si>
    <t>Audiobooks</t>
  </si>
  <si>
    <t>£0.025</t>
  </si>
  <si>
    <t>Audiobooks (up to 30,000 words)</t>
  </si>
  <si>
    <t>£690.000</t>
  </si>
  <si>
    <t>Stock Image</t>
  </si>
  <si>
    <t>PRICE LIST</t>
  </si>
  <si>
    <t>Design</t>
  </si>
  <si>
    <t>£1.000</t>
  </si>
  <si>
    <t>Item</t>
  </si>
  <si>
    <t>Extra Design Time (over 20 hours, hourly)</t>
  </si>
  <si>
    <t>£24.000</t>
  </si>
  <si>
    <t>Extra Design Time (up to 20 hours, hourly)</t>
  </si>
  <si>
    <t>£35.000</t>
  </si>
  <si>
    <t>Extra Design Time (up to 10 hours, hourly)</t>
  </si>
  <si>
    <t>£39.000</t>
  </si>
  <si>
    <t>Revision round (minor)</t>
  </si>
  <si>
    <t>£45.000</t>
  </si>
  <si>
    <t>Extra Design Time (up to 5 hours, hourly)</t>
  </si>
  <si>
    <t>£48.000</t>
  </si>
  <si>
    <t>Extra Design Time (up to 2 hours, hourly)</t>
  </si>
  <si>
    <t>£69.000</t>
  </si>
  <si>
    <t>Post-publication eBook Revisions</t>
  </si>
  <si>
    <t>£70.000</t>
  </si>
  <si>
    <t>Post-publication Cover Revisions</t>
  </si>
  <si>
    <t>£ 3799.000</t>
  </si>
  <si>
    <t>£100.000</t>
  </si>
  <si>
    <t>Post-publication Interior Revisions</t>
  </si>
  <si>
    <t>Revision round (regular)</t>
  </si>
  <si>
    <t>Post-publication Revisions - additional charges</t>
  </si>
  <si>
    <t>Relayout, interior + revision round</t>
  </si>
  <si>
    <t>£350.000</t>
  </si>
  <si>
    <t>Redesign, cover + revision round</t>
  </si>
  <si>
    <r>
      <rPr>
        <color rgb="FF1155CC"/>
        <u/>
      </rPr>
      <t>ILLUSTRATIONS SAMPLE</t>
    </r>
    <r>
      <rPr>
        <color rgb="FF1F1F1F"/>
      </rPr>
      <t xml:space="preserve"> | </t>
    </r>
    <r>
      <rPr>
        <color rgb="FF1155CC"/>
        <u/>
      </rPr>
      <t>BOOK SHELF</t>
    </r>
  </si>
  <si>
    <t>Interior Layout</t>
  </si>
  <si>
    <t>£399.000</t>
  </si>
  <si>
    <t>Cover Design</t>
  </si>
  <si>
    <t>Premium Cover Design</t>
  </si>
  <si>
    <t>Redesign, cover + 2 revision rounds</t>
  </si>
  <si>
    <t>LAT-AM REGION</t>
  </si>
  <si>
    <t>Relayout, interior + 2 revision rounds</t>
  </si>
  <si>
    <t>Premium Distribution Support</t>
  </si>
  <si>
    <t>Distribution</t>
  </si>
  <si>
    <t>148826000001706101</t>
  </si>
  <si>
    <t>£50.000</t>
  </si>
  <si>
    <t>TERMS AND CONDITIONS</t>
  </si>
  <si>
    <t>2nd Edition - Hardcover Edition &amp; Distribution</t>
  </si>
  <si>
    <t>Editing</t>
  </si>
  <si>
    <t>£125.000</t>
  </si>
  <si>
    <t>2nd Edition - eBook Distribution (Kindle)</t>
  </si>
  <si>
    <t>2nd Edition - eBook Distribution (Kobo)</t>
  </si>
  <si>
    <t>2nd Edition - eBook Distribution (Smashwords)</t>
  </si>
  <si>
    <t>£ 3999.000</t>
  </si>
  <si>
    <t>2nd Edition - Enhanced Amazon Distribution (KDP Print)</t>
  </si>
  <si>
    <t>148826000023035110</t>
  </si>
  <si>
    <t>Marketing</t>
  </si>
  <si>
    <t>2nd Edition - Enhanced Amazon Hardcover Distribution (KDP Print)</t>
  </si>
  <si>
    <t>£ 1899.000</t>
  </si>
  <si>
    <t>148826000023035209</t>
  </si>
  <si>
    <r>
      <rPr>
        <color rgb="FF1155CC"/>
        <u/>
      </rPr>
      <t>BLOG</t>
    </r>
    <r>
      <rPr>
        <color rgb="FF1F1F1F"/>
      </rPr>
      <t xml:space="preserve"> | </t>
    </r>
    <r>
      <rPr>
        <color rgb="FF1155CC"/>
        <u/>
      </rPr>
      <t>NEWS ROOM</t>
    </r>
  </si>
  <si>
    <r>
      <rPr>
        <rFont val="Arial"/>
        <color rgb="FF000000"/>
      </rPr>
      <t>Enhanced Amazon Hardcover Distribution (KDP Print)</t>
    </r>
  </si>
  <si>
    <t>£ 1099.000</t>
  </si>
  <si>
    <t>£175.000</t>
  </si>
  <si>
    <t>148826000023035281</t>
  </si>
  <si>
    <t>Enhanced Amazon Distribution (KDP Print)</t>
  </si>
  <si>
    <t>Distribution Transfer</t>
  </si>
  <si>
    <t>£ 5499.000</t>
  </si>
  <si>
    <t>148826000000040462</t>
  </si>
  <si>
    <t>eBook Distribution (Kobo)</t>
  </si>
  <si>
    <t>£ 2099.000</t>
  </si>
  <si>
    <t>eBook Distribution (Kindle)</t>
  </si>
  <si>
    <t>148826000023035254</t>
  </si>
  <si>
    <t>PRIVACY POLICY</t>
  </si>
  <si>
    <t>Hardcover Edition &amp; Distribution</t>
  </si>
  <si>
    <t>eBook Distribution (Smashwords)</t>
  </si>
  <si>
    <t>148826000008700101</t>
  </si>
  <si>
    <t>eBook Formatting (interior layout also purchased)</t>
  </si>
  <si>
    <t>£ 7699.000</t>
  </si>
  <si>
    <t>£275.000</t>
  </si>
  <si>
    <t>148826000023754136</t>
  </si>
  <si>
    <t>Book Returns Program</t>
  </si>
  <si>
    <t>Publishing Package</t>
  </si>
  <si>
    <t>Managed Distribution 100</t>
  </si>
  <si>
    <t>£ 20.000</t>
  </si>
  <si>
    <t>148826000023754185</t>
  </si>
  <si>
    <t>2nd Edition - eBook Complete Package</t>
  </si>
  <si>
    <t>£ 40.000</t>
  </si>
  <si>
    <t>148826000023754176</t>
  </si>
  <si>
    <t>Cancellation</t>
  </si>
  <si>
    <t>£375.000</t>
  </si>
  <si>
    <t>£ 1.000</t>
  </si>
  <si>
    <t>USA</t>
  </si>
  <si>
    <t>eBook Formatting (without interior layout)</t>
  </si>
  <si>
    <t>148826000023754127</t>
  </si>
  <si>
    <t>Additional Design Complexities</t>
  </si>
  <si>
    <t>eBook Complete Package</t>
  </si>
  <si>
    <t>£525.000</t>
  </si>
  <si>
    <t>148826000023754114</t>
  </si>
  <si>
    <t>Sample Edit</t>
  </si>
  <si>
    <t>-</t>
  </si>
  <si>
    <t>Editorial Evaluation (beyond 75k words)</t>
  </si>
  <si>
    <t>£0.005</t>
  </si>
  <si>
    <t>Edit - Post-Layout Proofread</t>
  </si>
  <si>
    <t>£0.010</t>
  </si>
  <si>
    <t>Edit - Third Round</t>
  </si>
  <si>
    <t>EUR REGION</t>
  </si>
  <si>
    <t>Substantive edit upgrade from copy</t>
  </si>
  <si>
    <t>£0.013</t>
  </si>
  <si>
    <t>Edit - Copy edit, additional words</t>
  </si>
  <si>
    <t>£0.014</t>
  </si>
  <si>
    <t>Edit - Copy Edit</t>
  </si>
  <si>
    <t>Edit - Substantive edit, additional words.</t>
  </si>
  <si>
    <t>£0.027</t>
  </si>
  <si>
    <t>Edit - Substantive Edit</t>
  </si>
  <si>
    <t>Country</t>
  </si>
  <si>
    <t>Editing Consultation</t>
  </si>
  <si>
    <t>Country Code</t>
  </si>
  <si>
    <t>Edit - Children's Book Post-Layout Proofread</t>
  </si>
  <si>
    <t>RC STATUS</t>
  </si>
  <si>
    <t>£ 349.000</t>
  </si>
  <si>
    <t>Edit - Post-Layout Proofread Minimum Charge</t>
  </si>
  <si>
    <t>148826000023754154</t>
  </si>
  <si>
    <t>Edit - Copy Edit Minimum Charge</t>
  </si>
  <si>
    <t>Argentina</t>
  </si>
  <si>
    <t>Edit - Substantive Edit Minimum Charge</t>
  </si>
  <si>
    <t>Expedited Design Service</t>
  </si>
  <si>
    <t>+54, +549</t>
  </si>
  <si>
    <t>Edit - Children's Book</t>
  </si>
  <si>
    <t>Editorial Evaluation (up to 75k words)</t>
  </si>
  <si>
    <t>148826000023754163</t>
  </si>
  <si>
    <t>Extra Design Time (11–20 hours, hourly)</t>
  </si>
  <si>
    <t>Illustration Revision Round (Minor)</t>
  </si>
  <si>
    <t>Illustration</t>
  </si>
  <si>
    <r>
      <rPr>
        <color rgb="FF1155CC"/>
        <u/>
      </rPr>
      <t>ILLUSTRATIONS SAMPLE</t>
    </r>
    <r>
      <rPr>
        <color rgb="FF1F1F1F"/>
      </rPr>
      <t xml:space="preserve"> | </t>
    </r>
    <r>
      <rPr>
        <color rgb="FF1155CC"/>
        <u/>
      </rPr>
      <t>BOOK SHELF</t>
    </r>
  </si>
  <si>
    <t>£30.000</t>
  </si>
  <si>
    <t>£ 35.000</t>
  </si>
  <si>
    <t>Illustration Revision Round (Regular)</t>
  </si>
  <si>
    <t>148826000023754105</t>
  </si>
  <si>
    <t>Extra Design Time (3–5 hours, hourly)</t>
  </si>
  <si>
    <t>£ 48.000</t>
  </si>
  <si>
    <t>Illustration Revision Rounds (Major)</t>
  </si>
  <si>
    <t>148826000023035101</t>
  </si>
  <si>
    <t>Extra Design Time (6–10 hours, hourly)</t>
  </si>
  <si>
    <t>£ 39.000</t>
  </si>
  <si>
    <t>Illustration (basic)</t>
  </si>
  <si>
    <t>148826000023035119</t>
  </si>
  <si>
    <t>£140.000</t>
  </si>
  <si>
    <t>£ 24.000</t>
  </si>
  <si>
    <t>Illustration (complex)</t>
  </si>
  <si>
    <t>148826000023754291</t>
  </si>
  <si>
    <t>Production</t>
  </si>
  <si>
    <t>Illustrations Bundle 1 (8pcs illustrations)</t>
  </si>
  <si>
    <t>£999.000</t>
  </si>
  <si>
    <t>Illustrations Bundle 2 (16pcs illustrations)</t>
  </si>
  <si>
    <t>Book Marketing Expense</t>
  </si>
  <si>
    <t>£ 69.000</t>
  </si>
  <si>
    <t>Promotional Material Revisions</t>
  </si>
  <si>
    <t>148826000023035092</t>
  </si>
  <si>
    <t>Consulting Hours</t>
  </si>
  <si>
    <t>£75.000</t>
  </si>
  <si>
    <t>148826000023754282</t>
  </si>
  <si>
    <t>Author Website Renewal (1 year)</t>
  </si>
  <si>
    <r>
      <rPr>
        <color rgb="FF1155CC"/>
        <u/>
      </rPr>
      <t>BLOG |</t>
    </r>
    <r>
      <rPr>
        <color rgb="FF1F1F1F"/>
      </rPr>
      <t xml:space="preserve"> </t>
    </r>
    <r>
      <rPr>
        <color rgb="FF1155CC"/>
        <u/>
      </rPr>
      <t>NEWS ROOM</t>
    </r>
  </si>
  <si>
    <t>ACTIVE</t>
  </si>
  <si>
    <t>£ 399.000</t>
  </si>
  <si>
    <t>Digital Review Copy - PDF file only</t>
  </si>
  <si>
    <t>148826000004471069</t>
  </si>
  <si>
    <t>Albania</t>
  </si>
  <si>
    <t>+355</t>
  </si>
  <si>
    <t>Digital Review Copy - EPUB file only</t>
  </si>
  <si>
    <t>148826000023035128</t>
  </si>
  <si>
    <t>£ 350.000</t>
  </si>
  <si>
    <t>Author Website Renewal (2 years)</t>
  </si>
  <si>
    <t>148826000023035146</t>
  </si>
  <si>
    <t>Bolivia</t>
  </si>
  <si>
    <t>+591</t>
  </si>
  <si>
    <t>Author Website Renewal (3 years)</t>
  </si>
  <si>
    <t>148826000011901217</t>
  </si>
  <si>
    <t>Andorra</t>
  </si>
  <si>
    <t>+376</t>
  </si>
  <si>
    <t>£155.000</t>
  </si>
  <si>
    <t>Brazil</t>
  </si>
  <si>
    <t>Colouring Sheets</t>
  </si>
  <si>
    <t>+55</t>
  </si>
  <si>
    <t>AUS</t>
  </si>
  <si>
    <t>Austria</t>
  </si>
  <si>
    <t>148826000004010855</t>
  </si>
  <si>
    <t>+43</t>
  </si>
  <si>
    <t>Digital Review Copies</t>
  </si>
  <si>
    <t>Chile</t>
  </si>
  <si>
    <t>+56</t>
  </si>
  <si>
    <t>Digital Review Copy - EPUB and PDF</t>
  </si>
  <si>
    <t>Belarus</t>
  </si>
  <si>
    <t>£ 375.000</t>
  </si>
  <si>
    <t>+375</t>
  </si>
  <si>
    <t>148826000005225027</t>
  </si>
  <si>
    <t>Book Marketing Follow Up</t>
  </si>
  <si>
    <t>Colombia</t>
  </si>
  <si>
    <t>+57</t>
  </si>
  <si>
    <t>Belgium</t>
  </si>
  <si>
    <t>Book Backgrounder</t>
  </si>
  <si>
    <t>+32</t>
  </si>
  <si>
    <t>£ 525.000</t>
  </si>
  <si>
    <t>Costa Rica</t>
  </si>
  <si>
    <t>+506</t>
  </si>
  <si>
    <t>148826000004024173</t>
  </si>
  <si>
    <t>Social Media Graphics (5 items)</t>
  </si>
  <si>
    <t>Bosnia &amp; Herzegovina</t>
  </si>
  <si>
    <t>2nd Edition - Redesign and distribute</t>
  </si>
  <si>
    <t>+387</t>
  </si>
  <si>
    <t>Promotional Materials (standard)</t>
  </si>
  <si>
    <t>Cuba</t>
  </si>
  <si>
    <t>148826000023035155</t>
  </si>
  <si>
    <t>+53</t>
  </si>
  <si>
    <t>Teacher/Parent Resource</t>
  </si>
  <si>
    <t>Second Language Illustrated Book</t>
  </si>
  <si>
    <t>Bulgaria</t>
  </si>
  <si>
    <t>+359</t>
  </si>
  <si>
    <t>Goodreads Account Set-Up</t>
  </si>
  <si>
    <t>Dominican Republic</t>
  </si>
  <si>
    <t>+1-809 / +1-829 / +1-849</t>
  </si>
  <si>
    <t>ARC Landing Page</t>
  </si>
  <si>
    <t>Croatia</t>
  </si>
  <si>
    <t>+385</t>
  </si>
  <si>
    <t>Ecuador</t>
  </si>
  <si>
    <t>+593</t>
  </si>
  <si>
    <t>Amazon Author Central</t>
  </si>
  <si>
    <t>Cyprus</t>
  </si>
  <si>
    <t>+357</t>
  </si>
  <si>
    <t>Micro Press Release Distribution</t>
  </si>
  <si>
    <t>148826000023035272</t>
  </si>
  <si>
    <t>El Salvador</t>
  </si>
  <si>
    <t>+503</t>
  </si>
  <si>
    <t>£200.000</t>
  </si>
  <si>
    <t>Czechia</t>
  </si>
  <si>
    <t>+420</t>
  </si>
  <si>
    <t>Goodreads Giveaway</t>
  </si>
  <si>
    <t>£225.000</t>
  </si>
  <si>
    <t>£ 125.000</t>
  </si>
  <si>
    <t>Guatemala</t>
  </si>
  <si>
    <t>KDP Giveaway</t>
  </si>
  <si>
    <t>+502</t>
  </si>
  <si>
    <t>148826000023035290</t>
  </si>
  <si>
    <t>Denmark</t>
  </si>
  <si>
    <t>+45</t>
  </si>
  <si>
    <t>Press Release Write-Up</t>
  </si>
  <si>
    <r>
      <rPr>
        <color rgb="FF1155CC"/>
        <u/>
      </rPr>
      <t>ILLUSTRATIONS SAMPLE</t>
    </r>
    <r>
      <rPr>
        <color rgb="FF1F1F1F"/>
      </rPr>
      <t xml:space="preserve"> | </t>
    </r>
    <r>
      <rPr>
        <color rgb="FF1155CC"/>
        <u/>
      </rPr>
      <t>BOOK SHELF</t>
    </r>
  </si>
  <si>
    <t>Haiti</t>
  </si>
  <si>
    <t>+509</t>
  </si>
  <si>
    <t>148826000013290004</t>
  </si>
  <si>
    <t>Add-on five outreach contacts</t>
  </si>
  <si>
    <t>Estonia</t>
  </si>
  <si>
    <t>+372</t>
  </si>
  <si>
    <t>Activity Sheets</t>
  </si>
  <si>
    <t>Honduras</t>
  </si>
  <si>
    <t>148826000000040400</t>
  </si>
  <si>
    <t>+504</t>
  </si>
  <si>
    <t>Curriculum Linked Materials</t>
  </si>
  <si>
    <t>Finland</t>
  </si>
  <si>
    <t>+358</t>
  </si>
  <si>
    <t>Bookfunnel Promotion</t>
  </si>
  <si>
    <t>Jamaica</t>
  </si>
  <si>
    <t>148826000004471077</t>
  </si>
  <si>
    <t>+1-876</t>
  </si>
  <si>
    <t>Blog Tour</t>
  </si>
  <si>
    <t>2nd Edition - Enhanced Amazon Paperback Distribution (KDP Print)</t>
  </si>
  <si>
    <t>France</t>
  </si>
  <si>
    <t>+33</t>
  </si>
  <si>
    <t>Promotional Materials (custom)</t>
  </si>
  <si>
    <t>Mexico</t>
  </si>
  <si>
    <t>148826000020555351</t>
  </si>
  <si>
    <t>+52</t>
  </si>
  <si>
    <t>2nd Edition - Ingramspark Hardcover Edition &amp; Distribution</t>
  </si>
  <si>
    <t>Germany</t>
  </si>
  <si>
    <t>Social Media Graphics (10 items)</t>
  </si>
  <si>
    <t>+49</t>
  </si>
  <si>
    <t>Nicaragua</t>
  </si>
  <si>
    <t>148826000004024145</t>
  </si>
  <si>
    <t>Awards Submission</t>
  </si>
  <si>
    <t>+505</t>
  </si>
  <si>
    <t>Gibraltar</t>
  </si>
  <si>
    <t>+350</t>
  </si>
  <si>
    <t>Media Kit</t>
  </si>
  <si>
    <t>Panama</t>
  </si>
  <si>
    <t>£ 690.000</t>
  </si>
  <si>
    <t>Indie Reader Review</t>
  </si>
  <si>
    <t>+507</t>
  </si>
  <si>
    <t>148826000004024161</t>
  </si>
  <si>
    <t>Greece</t>
  </si>
  <si>
    <t>+30</t>
  </si>
  <si>
    <t>Social Media Startup</t>
  </si>
  <si>
    <t>Word</t>
  </si>
  <si>
    <t>Paraguay</t>
  </si>
  <si>
    <t>+595</t>
  </si>
  <si>
    <t>Book Marketing Strategy &amp; Consultation</t>
  </si>
  <si>
    <t>Hungary</t>
  </si>
  <si>
    <t>£ 0.025</t>
  </si>
  <si>
    <t>+36</t>
  </si>
  <si>
    <t>Goodreads Account Set-Up &amp; Giveaway</t>
  </si>
  <si>
    <t>148826000010414119</t>
  </si>
  <si>
    <t>Peru</t>
  </si>
  <si>
    <r>
      <rPr>
        <color rgb="FF1155CC"/>
        <u/>
      </rPr>
      <t>BLOG</t>
    </r>
    <r>
      <rPr>
        <color rgb="FF1F1F1F"/>
      </rPr>
      <t xml:space="preserve"> | </t>
    </r>
    <r>
      <rPr>
        <color rgb="FF1155CC"/>
        <u/>
      </rPr>
      <t>NEWS ROOM</t>
    </r>
  </si>
  <si>
    <t>+51</t>
  </si>
  <si>
    <t>Author Website (Update)</t>
  </si>
  <si>
    <t>Author Website (Upgrade for Adding New Book)</t>
  </si>
  <si>
    <t>Author Website (Upgrade from Basic to Advanced)</t>
  </si>
  <si>
    <t>148826000004612193</t>
  </si>
  <si>
    <t>£400.000</t>
  </si>
  <si>
    <t>Direct Distribution</t>
  </si>
  <si>
    <t>Author Website (Basic)</t>
  </si>
  <si>
    <t>£425.000</t>
  </si>
  <si>
    <t>School Outreach</t>
  </si>
  <si>
    <t>Iceland</t>
  </si>
  <si>
    <t>+354</t>
  </si>
  <si>
    <t>Puerto Rico</t>
  </si>
  <si>
    <t>Kirkus Review</t>
  </si>
  <si>
    <t>+1-787 / +1-939</t>
  </si>
  <si>
    <t>Ireland</t>
  </si>
  <si>
    <t>+353</t>
  </si>
  <si>
    <t>Book Retailer Engagement</t>
  </si>
  <si>
    <t>Uruguay</t>
  </si>
  <si>
    <t>+598</t>
  </si>
  <si>
    <t>Media Outreach</t>
  </si>
  <si>
    <t>Italy</t>
  </si>
  <si>
    <t>+39</t>
  </si>
  <si>
    <t>£700.000</t>
  </si>
  <si>
    <t>Venezuela</t>
  </si>
  <si>
    <t>+58</t>
  </si>
  <si>
    <t>Press Release Write-Up &amp; Distribution</t>
  </si>
  <si>
    <t>Kosovo</t>
  </si>
  <si>
    <t>£ 0.000</t>
  </si>
  <si>
    <t>+383</t>
  </si>
  <si>
    <t>Early Buzz Marketing Package</t>
  </si>
  <si>
    <t>UKI</t>
  </si>
  <si>
    <t>Latvia</t>
  </si>
  <si>
    <t>+371</t>
  </si>
  <si>
    <t>Author Website (Advanced)</t>
  </si>
  <si>
    <t>148826000001917269</t>
  </si>
  <si>
    <t>Liechtenstein</t>
  </si>
  <si>
    <t>£825.000</t>
  </si>
  <si>
    <t>+423</t>
  </si>
  <si>
    <t>Online Marketing Package</t>
  </si>
  <si>
    <t>Lithuania</t>
  </si>
  <si>
    <t>£1,399.000</t>
  </si>
  <si>
    <t>+370</t>
  </si>
  <si>
    <t>£ 175.000</t>
  </si>
  <si>
    <t>KidLit Explorer Marketing Package</t>
  </si>
  <si>
    <t>Luxembourg</t>
  </si>
  <si>
    <t>£1,500.000</t>
  </si>
  <si>
    <t>Children's Marketing Package</t>
  </si>
  <si>
    <t>148826000004024153</t>
  </si>
  <si>
    <t>+352</t>
  </si>
  <si>
    <t>148826000023035308</t>
  </si>
  <si>
    <t>Editorial Reviews Marketing Package</t>
  </si>
  <si>
    <t>£2,249.000</t>
  </si>
  <si>
    <t>148826000024296033</t>
  </si>
  <si>
    <t>Classic Marketing Package</t>
  </si>
  <si>
    <t>148826000023035173</t>
  </si>
  <si>
    <t>Book Order Credit</t>
  </si>
  <si>
    <t>eBook Formatting (with interior layout)</t>
  </si>
  <si>
    <t>Printing</t>
  </si>
  <si>
    <t>£ 275.000</t>
  </si>
  <si>
    <t>148826000023035164</t>
  </si>
  <si>
    <t>Shipping Cost</t>
  </si>
  <si>
    <t>Book Order</t>
  </si>
  <si>
    <t>148826000023035263</t>
  </si>
  <si>
    <t>Enhanced Amazon Hardcover Distribution (KDP Print)</t>
  </si>
  <si>
    <t>148826000023035137</t>
  </si>
  <si>
    <t>Book Order 40</t>
  </si>
  <si>
    <t>Enhanced Amazon Paperback Distribution (KDP Print)</t>
  </si>
  <si>
    <t>Malta</t>
  </si>
  <si>
    <t>148826000023035236</t>
  </si>
  <si>
    <t>Book Order 80</t>
  </si>
  <si>
    <t>Ingramspark Hardcover Edition &amp; Distribution</t>
  </si>
  <si>
    <t>£80.000</t>
  </si>
  <si>
    <t>+356</t>
  </si>
  <si>
    <t>148826000023035227</t>
  </si>
  <si>
    <t>Project Management</t>
  </si>
  <si>
    <t>Moldova</t>
  </si>
  <si>
    <t>+373</t>
  </si>
  <si>
    <t>Monaco</t>
  </si>
  <si>
    <t>148826000004471153</t>
  </si>
  <si>
    <t>Transcription</t>
  </si>
  <si>
    <t>+377</t>
  </si>
  <si>
    <t>£0.020</t>
  </si>
  <si>
    <t>£ 50.000</t>
  </si>
  <si>
    <t>Montenegro</t>
  </si>
  <si>
    <t>Transcription and Copy Editing</t>
  </si>
  <si>
    <t>+382</t>
  </si>
  <si>
    <t>148826000000040412</t>
  </si>
  <si>
    <t>£0.034</t>
  </si>
  <si>
    <t>Remove eBook Distribution (Kindle)</t>
  </si>
  <si>
    <t>Netherlands</t>
  </si>
  <si>
    <t>+31</t>
  </si>
  <si>
    <t>Translation Service</t>
  </si>
  <si>
    <t>North Macedonia</t>
  </si>
  <si>
    <t>£0.070</t>
  </si>
  <si>
    <t>+389</t>
  </si>
  <si>
    <t>148826000013017050</t>
  </si>
  <si>
    <t>Project Services Completed</t>
  </si>
  <si>
    <t>Remove eBook Distribution (Kobo)</t>
  </si>
  <si>
    <t>Norway</t>
  </si>
  <si>
    <t>+47</t>
  </si>
  <si>
    <t>Poland</t>
  </si>
  <si>
    <t>+48</t>
  </si>
  <si>
    <t>148826000000040424</t>
  </si>
  <si>
    <t>Remove eBook Distribution (Smashwords)</t>
  </si>
  <si>
    <t>Portugal</t>
  </si>
  <si>
    <t>+351</t>
  </si>
  <si>
    <t>Romania</t>
  </si>
  <si>
    <t>148826000004834399</t>
  </si>
  <si>
    <t>Project Cancellation Fee</t>
  </si>
  <si>
    <t>+40</t>
  </si>
  <si>
    <t>Remove Enhanced Amazon Hardcover Distribution (KDP Print)</t>
  </si>
  <si>
    <t>Project Manager Support</t>
  </si>
  <si>
    <t>148826000000040386</t>
  </si>
  <si>
    <t>Remove Enhanced Amazon Paperback Distribution (KDP Print)</t>
  </si>
  <si>
    <t>Manuscript and Image Preparation</t>
  </si>
  <si>
    <t>148826000004362109</t>
  </si>
  <si>
    <t>Remove IngramSpark Hardcover Edition &amp; Distribution</t>
  </si>
  <si>
    <t>Project Extension (90 days)</t>
  </si>
  <si>
    <t>148826000004834419</t>
  </si>
  <si>
    <t>Remove IngramSpark Paperback Edition &amp; Distribution</t>
  </si>
  <si>
    <r>
      <rPr>
        <color rgb="FF1155CC"/>
        <u/>
      </rPr>
      <t>ILLUSTRATIONS SAMPLE</t>
    </r>
    <r>
      <rPr>
        <color rgb="FF1F1F1F"/>
      </rPr>
      <t xml:space="preserve"> | </t>
    </r>
    <r>
      <rPr>
        <color rgb="FF1155CC"/>
        <u/>
      </rPr>
      <t>BOOK SHELF</t>
    </r>
  </si>
  <si>
    <t>148826000004010903</t>
  </si>
  <si>
    <t>Project Extension (6 months)</t>
  </si>
  <si>
    <t>£99.000</t>
  </si>
  <si>
    <t>Project Extension (1 year)</t>
  </si>
  <si>
    <t>148826000000040406</t>
  </si>
  <si>
    <t>148826000004834427</t>
  </si>
  <si>
    <t>Print Ready Files</t>
  </si>
  <si>
    <t>San Marino</t>
  </si>
  <si>
    <t>+378</t>
  </si>
  <si>
    <t>Project Coaching</t>
  </si>
  <si>
    <t>£ 0.014</t>
  </si>
  <si>
    <t>Serbia</t>
  </si>
  <si>
    <t>148826000004362097</t>
  </si>
  <si>
    <t>+381</t>
  </si>
  <si>
    <t>Slovakia</t>
  </si>
  <si>
    <t>+421</t>
  </si>
  <si>
    <t>148826000023754194</t>
  </si>
  <si>
    <t>Slovenia</t>
  </si>
  <si>
    <t>+386</t>
  </si>
  <si>
    <t>Edit - Copy Edit, Additional Words</t>
  </si>
  <si>
    <t>Spain</t>
  </si>
  <si>
    <t>+34</t>
  </si>
  <si>
    <t>148826000005669003</t>
  </si>
  <si>
    <t>Sweden</t>
  </si>
  <si>
    <t>+46</t>
  </si>
  <si>
    <t>£199.000</t>
  </si>
  <si>
    <t>£ 0.010</t>
  </si>
  <si>
    <t>Switzerland</t>
  </si>
  <si>
    <t>+41</t>
  </si>
  <si>
    <t>148826000001173093</t>
  </si>
  <si>
    <t>Expedited One Round Editing Service</t>
  </si>
  <si>
    <t>Turkey</t>
  </si>
  <si>
    <t>+90</t>
  </si>
  <si>
    <t>Ukraine</t>
  </si>
  <si>
    <t>+380</t>
  </si>
  <si>
    <t>Expedited Two Round Editing service</t>
  </si>
  <si>
    <t>148826000001692017</t>
  </si>
  <si>
    <t>United Kingdom</t>
  </si>
  <si>
    <t>Edit - Post-Layout Proofread, additional words</t>
  </si>
  <si>
    <t>+44</t>
  </si>
  <si>
    <t>£349.000</t>
  </si>
  <si>
    <t>148826000000040362</t>
  </si>
  <si>
    <t>Vatican City</t>
  </si>
  <si>
    <t>+379</t>
  </si>
  <si>
    <t>£ 0.027</t>
  </si>
  <si>
    <t>Packaged Indesign Files</t>
  </si>
  <si>
    <t>148826000001692029</t>
  </si>
  <si>
    <t>148826000000040368</t>
  </si>
  <si>
    <r>
      <rPr>
        <color rgb="FF1155CC"/>
        <u/>
      </rPr>
      <t>BLOG</t>
    </r>
    <r>
      <rPr>
        <color rgb="FF1F1F1F"/>
      </rPr>
      <t xml:space="preserve"> | </t>
    </r>
    <r>
      <rPr>
        <color rgb="FF1155CC"/>
        <u/>
      </rPr>
      <t>NEWS ROOM</t>
    </r>
  </si>
  <si>
    <t>148826000005067341</t>
  </si>
  <si>
    <t>Book Coaching Only Package</t>
  </si>
  <si>
    <t>Stand Alone Service</t>
  </si>
  <si>
    <t>148826000023035182</t>
  </si>
  <si>
    <t>£ 100.000</t>
  </si>
  <si>
    <t>Ebook Only Package</t>
  </si>
  <si>
    <t>148826000003186055</t>
  </si>
  <si>
    <t>£ 0.005</t>
  </si>
  <si>
    <t>Editing Only Package</t>
  </si>
  <si>
    <t>148826000005351001</t>
  </si>
  <si>
    <t>Ghostwriting Only Package</t>
  </si>
  <si>
    <t>148826000023035317</t>
  </si>
  <si>
    <t>Illustrations only Package</t>
  </si>
  <si>
    <t>Manuscript Development Coaching Only Package</t>
  </si>
  <si>
    <t>148826000023035245</t>
  </si>
  <si>
    <t>Marketing Only Package</t>
  </si>
  <si>
    <t>148826000012966501</t>
  </si>
  <si>
    <t>Print Order Only Package</t>
  </si>
  <si>
    <t>Manuscript Development Coaching (beyond 35k words)</t>
  </si>
  <si>
    <t>148826000023035191</t>
  </si>
  <si>
    <t>Writing</t>
  </si>
  <si>
    <t>£ 0.013</t>
  </si>
  <si>
    <t>148826000023035200</t>
  </si>
  <si>
    <t>Illustrations</t>
  </si>
  <si>
    <t>£ 140.000</t>
  </si>
  <si>
    <t>148826000001706081</t>
  </si>
  <si>
    <t>148826000023035218</t>
  </si>
  <si>
    <t>£ 30.000</t>
  </si>
  <si>
    <t>148826000023035299</t>
  </si>
  <si>
    <t>148826000013017041</t>
  </si>
  <si>
    <t>148826000000082023</t>
  </si>
  <si>
    <t>£ 999.000</t>
  </si>
  <si>
    <t>148826000013290035</t>
  </si>
  <si>
    <t>148826000010264256</t>
  </si>
  <si>
    <t>£ 1500.000</t>
  </si>
  <si>
    <t>148826000010213191</t>
  </si>
  <si>
    <t>£ 2249.000</t>
  </si>
  <si>
    <t>148826000000136001</t>
  </si>
  <si>
    <t>£ 700.000</t>
  </si>
  <si>
    <t>148826000000228101</t>
  </si>
  <si>
    <t>148826000004010839</t>
  </si>
  <si>
    <t>148826000000093016</t>
  </si>
  <si>
    <t>£ 1399.000</t>
  </si>
  <si>
    <t>148826000001706073</t>
  </si>
  <si>
    <t>148826000004118151</t>
  </si>
  <si>
    <t>148826000012966510</t>
  </si>
  <si>
    <t>148826000012966519</t>
  </si>
  <si>
    <t>£ 825.000</t>
  </si>
  <si>
    <t>148826000012966528</t>
  </si>
  <si>
    <t>£ 425.000</t>
  </si>
  <si>
    <t>148826000023754203</t>
  </si>
  <si>
    <t>Author Website (Upgrade)</t>
  </si>
  <si>
    <t>£ 400.000</t>
  </si>
  <si>
    <t>148826000002233093</t>
  </si>
  <si>
    <t>148826000012966476</t>
  </si>
  <si>
    <t>Author-Facing Product Literatures:</t>
  </si>
  <si>
    <t>148826000005327255</t>
  </si>
  <si>
    <t>£ 155.000</t>
  </si>
  <si>
    <t>148826000004612201</t>
  </si>
  <si>
    <t>Zendesk Guide Articles (Author Facing):</t>
  </si>
  <si>
    <t>Book Coaching Renewal (single session)</t>
  </si>
  <si>
    <t>148826000005327247</t>
  </si>
  <si>
    <t>Reference Sheets:</t>
  </si>
  <si>
    <t>148826000004010935</t>
  </si>
  <si>
    <t>Manuscript Development Coaching (up to 35k words)</t>
  </si>
  <si>
    <t>148826000004395085</t>
  </si>
  <si>
    <t>Book Coaching Lite Package (block of 6 sessions)</t>
  </si>
  <si>
    <t>£1,200.000</t>
  </si>
  <si>
    <t>Book Coaching Essential (block of 12 sessions)</t>
  </si>
  <si>
    <t>148826000005809141</t>
  </si>
  <si>
    <t>£2,250.000</t>
  </si>
  <si>
    <t>Ghostwriting</t>
  </si>
  <si>
    <t>2025 Publishing Packages (NEW)</t>
  </si>
  <si>
    <t>148826000005327239</t>
  </si>
  <si>
    <t>148826000012966467</t>
  </si>
  <si>
    <t>148826000000395013</t>
  </si>
  <si>
    <t>148826000012411078</t>
  </si>
  <si>
    <t>148826000012411069</t>
  </si>
  <si>
    <t>£ 75.000</t>
  </si>
  <si>
    <t>148826000004254533</t>
  </si>
  <si>
    <t>£ 32000.000</t>
  </si>
  <si>
    <t>148826000007794175</t>
  </si>
  <si>
    <t>Publishing Timeline/ Turn-around-time</t>
  </si>
  <si>
    <t>148826000004977329</t>
  </si>
  <si>
    <t>Digital Review Copy - EPUB, MOBI and PDF</t>
  </si>
  <si>
    <t>148826000001664393</t>
  </si>
  <si>
    <t>Digital Review Copy - MOBI file only</t>
  </si>
  <si>
    <t>148826000006352014</t>
  </si>
  <si>
    <t>148826000006115011</t>
  </si>
  <si>
    <t>Ghostwriting Advanced</t>
  </si>
  <si>
    <t>148826000000040380</t>
  </si>
  <si>
    <t>148826000000040394</t>
  </si>
  <si>
    <t>£ 48000.000</t>
  </si>
  <si>
    <t>£ 225.000</t>
  </si>
  <si>
    <t>148826000005595029</t>
  </si>
  <si>
    <t>148826000007998111</t>
  </si>
  <si>
    <t>148826000003748683</t>
  </si>
  <si>
    <t>148826000000040430</t>
  </si>
  <si>
    <t>148826000006087025</t>
  </si>
  <si>
    <t>PREMIUM NONFICTION PACKAGES</t>
  </si>
  <si>
    <t>Tellwell Size Matrix - to check what trim sizes are available</t>
  </si>
  <si>
    <t>148826000001450125</t>
  </si>
  <si>
    <t>£ 200.000</t>
  </si>
  <si>
    <t>148826000001692083</t>
  </si>
  <si>
    <t>148826000003763699</t>
  </si>
  <si>
    <t>NULL</t>
  </si>
  <si>
    <t>Advantage</t>
  </si>
  <si>
    <t>148826000006059591</t>
  </si>
  <si>
    <t>148826000001706109</t>
  </si>
  <si>
    <t>148826000024575216</t>
  </si>
  <si>
    <t>148826000024575225</t>
  </si>
  <si>
    <t>Website upgrade for adding new book</t>
  </si>
  <si>
    <t>Entrepreneur</t>
  </si>
  <si>
    <t>Authority</t>
  </si>
  <si>
    <t>Luminary</t>
  </si>
  <si>
    <t>£ 80.000</t>
  </si>
  <si>
    <t>Pinnacle</t>
  </si>
  <si>
    <t>Copyright Registration - Canada</t>
  </si>
  <si>
    <t>£ 150.000</t>
  </si>
  <si>
    <t>Copyright Registration - US</t>
  </si>
  <si>
    <r>
      <rPr>
        <b/>
        <color rgb="FF1155CC"/>
        <sz val="12.0"/>
        <u/>
      </rPr>
      <t xml:space="preserve">Audiobook </t>
    </r>
    <r>
      <rPr>
        <b/>
        <color rgb="FF000000"/>
        <sz val="12.0"/>
        <u/>
      </rPr>
      <t xml:space="preserve"> </t>
    </r>
  </si>
  <si>
    <t>Manuscript Reading Fee</t>
  </si>
  <si>
    <t>PDF Drop - Cover</t>
  </si>
  <si>
    <t>PDF Drop - Interior</t>
  </si>
  <si>
    <t>£ 70.000</t>
  </si>
  <si>
    <t>Production Process Overview</t>
  </si>
  <si>
    <t>£ 199.000</t>
  </si>
  <si>
    <t>IngarmSpark's Popular Trim Sizes</t>
  </si>
  <si>
    <t>£ 99.000</t>
  </si>
  <si>
    <t>£ 45.000</t>
  </si>
  <si>
    <t>£ 0.020</t>
  </si>
  <si>
    <t>£ 0.034</t>
  </si>
  <si>
    <t>Marketing Services</t>
  </si>
  <si>
    <t>£ 0.070</t>
  </si>
  <si>
    <t>What is Octavo?</t>
  </si>
  <si>
    <t>£ 2250.000</t>
  </si>
  <si>
    <t>Book Coaching Lite (block of 6 sessions)</t>
  </si>
  <si>
    <t>£ 1200.000</t>
  </si>
  <si>
    <t>Print Prices - to check options for custom binding, custom paper and other specialty printing info</t>
  </si>
  <si>
    <t>Publishing Guide</t>
  </si>
  <si>
    <t>Illustrations Guide</t>
  </si>
  <si>
    <t>External Guide Articles (For your OWN consumption ONLY):</t>
  </si>
  <si>
    <t xml:space="preserve">Editing Services </t>
  </si>
  <si>
    <t>What is the role of my Project Manager?</t>
  </si>
  <si>
    <t>Ingram Book Specs (Ink type, paper color &amp; weight, trim sizes availability per format, binding, cover textures)</t>
  </si>
  <si>
    <t>Editing Services Client Reviews</t>
  </si>
  <si>
    <t>More articles here! - Link to Tellwell Zendesk</t>
  </si>
  <si>
    <t>Ingram's Book Returns Program</t>
  </si>
  <si>
    <t>Author Success Stories</t>
  </si>
  <si>
    <t>PRINTING RESOURCE CENTER</t>
  </si>
  <si>
    <t>Ingram's Global Distribution Web</t>
  </si>
  <si>
    <t>Book Coaching Services</t>
  </si>
  <si>
    <t>Ghostwriting Services FAQs (Internal)</t>
  </si>
  <si>
    <t>Printing Resource Center</t>
  </si>
  <si>
    <t>Ghostwriting Services</t>
  </si>
  <si>
    <t>Copyright &amp; Legal Deposit Fact Sheet</t>
  </si>
  <si>
    <t>Ingram File Creation Guide</t>
  </si>
  <si>
    <t>Lead Magnets</t>
  </si>
  <si>
    <t>Manuscript Development Coaching Info Sheet</t>
  </si>
  <si>
    <t>Tellwell's Guide to Print-Ready Files</t>
  </si>
  <si>
    <t>How to write a Childrens Book</t>
  </si>
  <si>
    <t>Advance Book Orders (ABO) and Print-Only Projects (POP) Guide</t>
  </si>
  <si>
    <t>Post-Publication Revisions VS 2nd Edition</t>
  </si>
  <si>
    <t>How to Publish a Nonfiction Book</t>
  </si>
  <si>
    <t xml:space="preserve">INGRAMSPARK CONTEND GUIDE Page 9 </t>
  </si>
  <si>
    <t>Top 10 Bestselling Titles</t>
  </si>
  <si>
    <t>KDP CONTENT GUIDE</t>
  </si>
  <si>
    <t>TRUST THE PROCESS, LENGTHEN YOUR PATIENCE, LEARN FROM EACH DAY AND YOU'LL ONLY GET BETTER HEREAFTER.</t>
  </si>
  <si>
    <t>BELIEVE IN YOURSELF BECAUSE WE CERTAINLY BELIEVE IN YOU! 💪</t>
  </si>
  <si>
    <t>Production PDF Guides (Author-Facing):</t>
  </si>
  <si>
    <t>HVNF CALL TEMPLATES:</t>
  </si>
  <si>
    <t>WRITING SERVICES CALL GUIDE</t>
  </si>
  <si>
    <t>TOLL FREE NUMBERS</t>
  </si>
  <si>
    <r>
      <rPr>
        <rFont val="Arial"/>
        <color theme="1"/>
        <sz val="14.0"/>
      </rPr>
      <t xml:space="preserve">*Leave </t>
    </r>
    <r>
      <rPr>
        <rFont val="Arial"/>
        <b/>
        <color theme="1"/>
        <sz val="14.0"/>
      </rPr>
      <t>toll free number w/ ext #</t>
    </r>
    <r>
      <rPr>
        <rFont val="Arial"/>
        <color theme="1"/>
        <sz val="14.0"/>
      </rPr>
      <t xml:space="preserve"> as callback number. </t>
    </r>
  </si>
  <si>
    <t>Publishing</t>
  </si>
  <si>
    <t>CANADA</t>
  </si>
  <si>
    <t>1-888-415-1541</t>
  </si>
  <si>
    <t>Self-Publishing</t>
  </si>
  <si>
    <t>PRODUCT SAMPLES</t>
  </si>
  <si>
    <t>1 (800) 891-4160</t>
  </si>
  <si>
    <t>Book Coaching</t>
  </si>
  <si>
    <t>Author Website Samples</t>
  </si>
  <si>
    <t>Manuscript Submission Guidelines</t>
  </si>
  <si>
    <t>AUSTRALIA</t>
  </si>
  <si>
    <t>61 (1800) 934-224</t>
  </si>
  <si>
    <t>Cover Samples</t>
  </si>
  <si>
    <t xml:space="preserve"> 0(800) 0584645</t>
  </si>
  <si>
    <t>VOICEMAIL</t>
  </si>
  <si>
    <t>Basic:</t>
  </si>
  <si>
    <t>Book Set-up Guide/ Book Profile Guide</t>
  </si>
  <si>
    <r>
      <rPr>
        <b/>
        <color rgb="FF1155CC"/>
        <sz val="12.0"/>
        <u/>
      </rPr>
      <t>Interior Layout Samples</t>
    </r>
    <r>
      <rPr>
        <b/>
        <color rgb="FF000000"/>
        <sz val="12.0"/>
        <u/>
      </rPr>
      <t xml:space="preserve"> (Non-Author Facing)</t>
    </r>
  </si>
  <si>
    <t>INTRODUCTION</t>
  </si>
  <si>
    <r>
      <rPr>
        <b/>
        <color rgb="FF1155CC"/>
        <sz val="12.0"/>
        <u/>
      </rPr>
      <t>https://soniadischer.com/</t>
    </r>
    <r>
      <rPr>
        <b/>
        <color rgb="FF000000"/>
        <sz val="12.0"/>
        <u/>
      </rPr>
      <t xml:space="preserve"> </t>
    </r>
  </si>
  <si>
    <r>
      <rPr>
        <rFont val="Arial"/>
        <color theme="1"/>
        <sz val="12.0"/>
      </rPr>
      <t xml:space="preserve">"Hi </t>
    </r>
    <r>
      <rPr>
        <rFont val="Arial"/>
        <b/>
        <color theme="1"/>
        <sz val="12.0"/>
      </rPr>
      <t>(author name)</t>
    </r>
    <r>
      <rPr>
        <rFont val="Arial"/>
        <color theme="1"/>
        <sz val="12.0"/>
      </rPr>
      <t xml:space="preserve">, this is </t>
    </r>
    <r>
      <rPr>
        <rFont val="Arial"/>
        <b/>
        <color theme="1"/>
        <sz val="12.0"/>
      </rPr>
      <t xml:space="preserve">(PC name) </t>
    </r>
    <r>
      <rPr>
        <rFont val="Arial"/>
        <color theme="1"/>
        <sz val="12.0"/>
      </rPr>
      <t xml:space="preserve">from Tellwell Publishing. I'm getting back to you regarding your inquiry about publishing your </t>
    </r>
    <r>
      <rPr>
        <rFont val="Arial"/>
        <b/>
        <color theme="1"/>
        <sz val="12.0"/>
      </rPr>
      <t>(description of book)</t>
    </r>
    <r>
      <rPr>
        <rFont val="Arial"/>
        <color theme="1"/>
        <sz val="12.0"/>
      </rPr>
      <t xml:space="preserve">. I’ve been trying to connect with you but seem to keep catching you at a bad time. I'd love to discuss this further so please give me a call at </t>
    </r>
    <r>
      <rPr>
        <rFont val="Arial"/>
        <b/>
        <color theme="1"/>
        <sz val="12.0"/>
      </rPr>
      <t>(Toll Free Number)</t>
    </r>
    <r>
      <rPr>
        <rFont val="Arial"/>
        <color theme="1"/>
        <sz val="12.0"/>
      </rPr>
      <t xml:space="preserve"> ext </t>
    </r>
    <r>
      <rPr>
        <rFont val="Arial"/>
        <b/>
        <color theme="1"/>
        <sz val="12.0"/>
      </rPr>
      <t>(PC ext)</t>
    </r>
    <r>
      <rPr>
        <rFont val="Arial"/>
        <color theme="1"/>
        <sz val="12.0"/>
      </rPr>
      <t xml:space="preserve"> when you have a moment. I also sent you an email and would appreciate your reply. Thanks, </t>
    </r>
    <r>
      <rPr>
        <rFont val="Arial"/>
        <b/>
        <color theme="1"/>
        <sz val="12.0"/>
      </rPr>
      <t>(author name)</t>
    </r>
    <r>
      <rPr>
        <rFont val="Arial"/>
        <color theme="1"/>
        <sz val="12.0"/>
      </rPr>
      <t>, take care!</t>
    </r>
  </si>
  <si>
    <r>
      <rPr>
        <rFont val="Arial"/>
        <color theme="1"/>
        <sz val="12.0"/>
      </rPr>
      <t xml:space="preserve">“Hi, good morning! I’m calling for </t>
    </r>
    <r>
      <rPr>
        <rFont val="Arial"/>
        <b/>
        <i/>
        <color theme="1"/>
        <sz val="12.0"/>
      </rPr>
      <t>(author name)</t>
    </r>
    <r>
      <rPr>
        <rFont val="Arial"/>
        <color theme="1"/>
        <sz val="12.0"/>
      </rPr>
      <t xml:space="preserve">. My name is </t>
    </r>
    <r>
      <rPr>
        <rFont val="Arial"/>
        <b/>
        <i/>
        <color theme="1"/>
        <sz val="12.0"/>
      </rPr>
      <t>(PC name)</t>
    </r>
    <r>
      <rPr>
        <rFont val="Arial"/>
        <color theme="1"/>
        <sz val="12.0"/>
      </rPr>
      <t xml:space="preserve"> and I am calling from Tellwell Talent. How are you today? </t>
    </r>
    <r>
      <rPr>
        <rFont val="Arial"/>
        <color rgb="FFFF0000"/>
        <sz val="12.0"/>
      </rPr>
      <t>[pause. let author respond]</t>
    </r>
    <r>
      <rPr>
        <rFont val="Arial"/>
        <color theme="1"/>
        <sz val="12.0"/>
      </rPr>
      <t xml:space="preserve">.That is great to hear! Now, I’m calling about the inquiry you submitted on publishing. You mentioned that you have a </t>
    </r>
    <r>
      <rPr>
        <rFont val="Arial"/>
        <b/>
        <i/>
        <color theme="1"/>
        <sz val="12.0"/>
      </rPr>
      <t xml:space="preserve">(genre/description of book). </t>
    </r>
    <r>
      <rPr>
        <rFont val="Arial"/>
        <color theme="1"/>
        <sz val="12.0"/>
      </rPr>
      <t xml:space="preserve">I would love to discuss this further with you." </t>
    </r>
    <r>
      <rPr>
        <rFont val="Arial"/>
        <color rgb="FFFF0000"/>
        <sz val="12.0"/>
      </rPr>
      <t>[pause.let author respond]</t>
    </r>
  </si>
  <si>
    <t>Illustrations Creation Process</t>
  </si>
  <si>
    <t>http://angiecollinsburke.com/</t>
  </si>
  <si>
    <t>VOICEMAIL- OLDER LEADS</t>
  </si>
  <si>
    <t>INTRODUCTION - OLDER LEADS</t>
  </si>
  <si>
    <t>Book Returns Program Terms and Conditions</t>
  </si>
  <si>
    <r>
      <rPr>
        <rFont val="Arial"/>
        <color theme="1"/>
        <sz val="12.0"/>
      </rPr>
      <t xml:space="preserve">"Hi </t>
    </r>
    <r>
      <rPr>
        <rFont val="Arial"/>
        <b/>
        <color theme="1"/>
        <sz val="12.0"/>
      </rPr>
      <t>(author name)</t>
    </r>
    <r>
      <rPr>
        <rFont val="Arial"/>
        <color theme="1"/>
        <sz val="12.0"/>
      </rPr>
      <t xml:space="preserve">, this is </t>
    </r>
    <r>
      <rPr>
        <rFont val="Arial"/>
        <b/>
        <color theme="1"/>
        <sz val="12.0"/>
      </rPr>
      <t>(PC name)</t>
    </r>
    <r>
      <rPr>
        <rFont val="Arial"/>
        <color theme="1"/>
        <sz val="12.0"/>
      </rPr>
      <t xml:space="preserve"> from Tellwell Publishing. I'm getting back to you regarding the inquiry you made some time ago about publishing your </t>
    </r>
    <r>
      <rPr>
        <rFont val="Arial"/>
        <b/>
        <color theme="1"/>
        <sz val="12.0"/>
      </rPr>
      <t>(description of book)</t>
    </r>
    <r>
      <rPr>
        <rFont val="Arial"/>
        <color theme="1"/>
        <sz val="12.0"/>
      </rPr>
      <t xml:space="preserve">. We've been trying to connect with you since then but keep reaching you at a busy time. I'd really appreciate it if you could give me a call at </t>
    </r>
    <r>
      <rPr>
        <rFont val="Arial"/>
        <b/>
        <color theme="1"/>
        <sz val="12.0"/>
      </rPr>
      <t>(direct line)</t>
    </r>
    <r>
      <rPr>
        <rFont val="Arial"/>
        <color theme="1"/>
        <sz val="12.0"/>
      </rPr>
      <t xml:space="preserve"> when you have a moment. I also sent you an email and would love to hear back from you. Thanks,</t>
    </r>
    <r>
      <rPr>
        <rFont val="Arial"/>
        <b/>
        <color theme="1"/>
        <sz val="12.0"/>
      </rPr>
      <t xml:space="preserve"> (author name)</t>
    </r>
    <r>
      <rPr>
        <rFont val="Arial"/>
        <color theme="1"/>
        <sz val="12.0"/>
      </rPr>
      <t>, take care!"</t>
    </r>
  </si>
  <si>
    <r>
      <rPr>
        <rFont val="Arial"/>
        <color theme="1"/>
        <sz val="12.0"/>
      </rPr>
      <t xml:space="preserve">“Hi, good morning! I’m calling for </t>
    </r>
    <r>
      <rPr>
        <rFont val="Arial"/>
        <b/>
        <i/>
        <color theme="1"/>
        <sz val="12.0"/>
      </rPr>
      <t>(author name)</t>
    </r>
    <r>
      <rPr>
        <rFont val="Arial"/>
        <color theme="1"/>
        <sz val="12.0"/>
      </rPr>
      <t>. My name is</t>
    </r>
    <r>
      <rPr>
        <rFont val="Arial"/>
        <b/>
        <i/>
        <color theme="1"/>
        <sz val="12.0"/>
      </rPr>
      <t xml:space="preserve"> (PC name)</t>
    </r>
    <r>
      <rPr>
        <rFont val="Arial"/>
        <color theme="1"/>
        <sz val="12.0"/>
      </rPr>
      <t xml:space="preserve"> and I am calling from Tellwell Talent. How are you today? </t>
    </r>
    <r>
      <rPr>
        <rFont val="Arial"/>
        <color rgb="FFFF0000"/>
        <sz val="12.0"/>
      </rPr>
      <t>[pause. let author respond]</t>
    </r>
    <r>
      <rPr>
        <rFont val="Arial"/>
        <color theme="1"/>
        <sz val="12.0"/>
      </rPr>
      <t xml:space="preserve">.That is great to hear! Now, I’m calling about the inquiry you submitted sometime ago. You mentioned that you had a </t>
    </r>
    <r>
      <rPr>
        <rFont val="Arial"/>
        <b/>
        <i/>
        <color theme="1"/>
        <sz val="12.0"/>
      </rPr>
      <t>(genre/description of book)</t>
    </r>
    <r>
      <rPr>
        <rFont val="Arial"/>
        <color theme="1"/>
        <sz val="12.0"/>
      </rPr>
      <t xml:space="preserve"> that you'd like to publish. How's that project coming along? </t>
    </r>
    <r>
      <rPr>
        <rFont val="Arial"/>
        <color rgb="FFFF0000"/>
        <sz val="12.0"/>
      </rPr>
      <t>[pause. let author respond]</t>
    </r>
    <r>
      <rPr>
        <rFont val="Arial"/>
        <color theme="1"/>
        <sz val="12.0"/>
      </rPr>
      <t xml:space="preserve"> I would love to discuss this further if you have the time." </t>
    </r>
    <r>
      <rPr>
        <rFont val="Arial"/>
        <color rgb="FFFF0000"/>
        <sz val="12.0"/>
      </rPr>
      <t>[pause.let author respond]</t>
    </r>
  </si>
  <si>
    <r>
      <rPr>
        <b/>
        <color rgb="FF1155CC"/>
        <sz val="10.0"/>
        <u/>
      </rPr>
      <t>Marketing Collaterals - Samples</t>
    </r>
    <r>
      <rPr>
        <b/>
        <color rgb="FF000000"/>
        <sz val="10.0"/>
        <u/>
      </rPr>
      <t xml:space="preserve">(More samples in </t>
    </r>
    <r>
      <rPr>
        <b/>
        <color rgb="FF1155CC"/>
        <sz val="10.0"/>
        <u/>
      </rPr>
      <t>#bookmarketingshowcase</t>
    </r>
    <r>
      <rPr>
        <b/>
        <color rgb="FF000000"/>
        <sz val="10.0"/>
        <u/>
      </rPr>
      <t>)</t>
    </r>
  </si>
  <si>
    <r>
      <rPr>
        <rFont val="Arial"/>
        <b/>
        <color theme="1"/>
        <sz val="12.0"/>
      </rPr>
      <t>IF BOOK IS ALREADY PUBLISHED</t>
    </r>
    <r>
      <rPr>
        <rFont val="Arial"/>
        <color theme="1"/>
        <sz val="12.0"/>
      </rPr>
      <t xml:space="preserve">
"Well, congratulations! It takes a lot of courage and hard work to get a book done! So I admire you for going through the process successfully! Do you happen to have another project in mind?" [pause. let author respond] 
</t>
    </r>
    <r>
      <rPr>
        <rFont val="Arial"/>
        <b/>
        <color rgb="FFFF0000"/>
        <sz val="12.0"/>
      </rPr>
      <t>If YES,</t>
    </r>
    <r>
      <rPr>
        <rFont val="Arial"/>
        <color theme="1"/>
        <sz val="12.0"/>
      </rPr>
      <t xml:space="preserve">
"I would be happy to talk about that new project if now is a perfect time!"
</t>
    </r>
    <r>
      <rPr>
        <rFont val="Arial"/>
        <b/>
        <color theme="1"/>
        <sz val="12.0"/>
      </rPr>
      <t>If NO,</t>
    </r>
    <r>
      <rPr>
        <rFont val="Arial"/>
        <color theme="1"/>
        <sz val="12.0"/>
      </rPr>
      <t xml:space="preserve">
"I see. Well, we'd be happy to keep your records in case you might find a need of our services in the future."
</t>
    </r>
  </si>
  <si>
    <t>––</t>
  </si>
  <si>
    <t>Advanced:</t>
  </si>
  <si>
    <t>Press Release Distribution List</t>
  </si>
  <si>
    <t>REGULAR DISCOUNTING GUIDELINES</t>
  </si>
  <si>
    <t>TRANSITION TO MUST ASK Qs SPIEL</t>
  </si>
  <si>
    <t xml:space="preserve">"Great! I must say, the short description you left along with the inquiry was informative but getting a few more details is always best for me. I would love to reccommend the best approach for you and your book so knowing the specifics help. This shouldn't take long, though. Depending on how our conversation goes, 10-15 min may be enough. Sounds good? Great! So why don't we start off with you telling me what this book is all about...."
</t>
  </si>
  <si>
    <t>Extra Design Time (Design Complexities)</t>
  </si>
  <si>
    <t>https://karensibal.com/</t>
  </si>
  <si>
    <t>Tellwell Cover Design Guide for Authors</t>
  </si>
  <si>
    <t>PAYMENT PLANS</t>
  </si>
  <si>
    <t>https://seyoumnigussie.com/</t>
  </si>
  <si>
    <t>MUST ASK Qs</t>
  </si>
  <si>
    <t>NOTES</t>
  </si>
  <si>
    <t>COMPANY FORMS:</t>
  </si>
  <si>
    <t>TRIM SIZE RECOMMENDATION &amp; Other Design Basics</t>
  </si>
  <si>
    <t>WRITING</t>
  </si>
  <si>
    <t>TOTAL INVOICE AMOUNT</t>
  </si>
  <si>
    <t>EDITING</t>
  </si>
  <si>
    <t>BASIC COMPANY INFO...</t>
  </si>
  <si>
    <r>
      <rPr>
        <rFont val="Arial"/>
        <b/>
        <i/>
        <color rgb="FF0000FF"/>
        <sz val="11.0"/>
      </rPr>
      <t>Teamwork makes the dream work!</t>
    </r>
    <r>
      <rPr>
        <rFont val="Arial"/>
        <color rgb="FF0000FF"/>
        <sz val="11.0"/>
      </rPr>
      <t xml:space="preserve"> </t>
    </r>
    <r>
      <rPr>
        <rFont val="Arial"/>
        <color theme="1"/>
        <sz val="11.0"/>
      </rPr>
      <t>Everyone in the team, most especially our core group in Canada, has lots of learnings and guidance to impart. So don't hesitate to reach out to any of your teammates for quick questions or things you need to coordinate with! 🙂</t>
    </r>
  </si>
  <si>
    <t>MAX CASH DISCOUNT</t>
  </si>
  <si>
    <t>Name:</t>
  </si>
  <si>
    <t>MAX WORTH OF FREE SERVICES</t>
  </si>
  <si>
    <t>FULL PAYMENT</t>
  </si>
  <si>
    <t>1. Fill-up details.</t>
  </si>
  <si>
    <t>CA$2,199 | AU$2,399 | US$1,749 | £1,249 | €1,499</t>
  </si>
  <si>
    <t>CA$330 | AU$360 | US$262 | £187 | €225</t>
  </si>
  <si>
    <t>2-3 MONTH PAYMENT PLAN</t>
  </si>
  <si>
    <t xml:space="preserve">With Admin Fee. Payments must be 30 days apart. </t>
  </si>
  <si>
    <t xml:space="preserve">2. Forward to JH for signing. </t>
  </si>
  <si>
    <t>CA$3,649 | AU$3,899 | US$2,999 | £2,099 | €2,499</t>
  </si>
  <si>
    <t>CA$547 | AU$585 | US$450 | £315 | €375</t>
  </si>
  <si>
    <t>4-6 MONTH PAYMENT PLAN</t>
  </si>
  <si>
    <r>
      <rPr/>
      <t xml:space="preserve">3. </t>
    </r>
    <r>
      <rPr>
        <color rgb="FF1155CC"/>
        <u/>
      </rPr>
      <t>Void Check Sample</t>
    </r>
  </si>
  <si>
    <t>CA$6,699 | AU$7,099 | US$5,499 | £4,099 | €4,899</t>
  </si>
  <si>
    <t>PRINTING QUOTE FORM</t>
  </si>
  <si>
    <t>CA$1,005 | AU$1,065 | US$825 | £615 | €735</t>
  </si>
  <si>
    <t>CA$7,399 | AU$7,799 | US$6,199 | £4,299 | €5,099</t>
  </si>
  <si>
    <t>CA$1,110 | AU$1,170 | US$930 | £645 | €765</t>
  </si>
  <si>
    <t>PAYMENT METHODS</t>
  </si>
  <si>
    <t>CA$9,499 | AU$10,199 | US$7,999 | £5,899 | €6,899</t>
  </si>
  <si>
    <t>CA$1,425 | AU$1,530 | US$1,200 | £885 | €1,035</t>
  </si>
  <si>
    <t>Credit/Debit Card</t>
  </si>
  <si>
    <t>Process in Octavo</t>
  </si>
  <si>
    <t>CA$12,999 | AU$13,999 | US$11,499 | £7,999 | €9,899</t>
  </si>
  <si>
    <t>CA$1,950 | AU$2,100 | US$1,725 | £1,200 | €1,485</t>
  </si>
  <si>
    <t>E-transfer</t>
  </si>
  <si>
    <t>Send to admin@tellwell.ca</t>
  </si>
  <si>
    <t>PayPal</t>
  </si>
  <si>
    <r>
      <rPr>
        <color rgb="FF1155CC"/>
        <sz val="12.0"/>
        <u/>
      </rPr>
      <t>https://www.paypal.me/Tellwell</t>
    </r>
    <r>
      <rPr>
        <color rgb="FF000000"/>
        <sz val="12.0"/>
        <u/>
      </rPr>
      <t xml:space="preserve"> or send to admin@tellwell.ca</t>
    </r>
  </si>
  <si>
    <t>External Calculators (Linked):</t>
  </si>
  <si>
    <t>Helpful when...</t>
  </si>
  <si>
    <t>DESIGN</t>
  </si>
  <si>
    <t>FREE SERVICES GUIDE</t>
  </si>
  <si>
    <t>DISTRIBUTION</t>
  </si>
  <si>
    <t>Tellwell Talent, Inc. (Founded 2015)</t>
  </si>
  <si>
    <t>Tallking points to remember...</t>
  </si>
  <si>
    <t>Headquarters:</t>
  </si>
  <si>
    <t>Victoria, BC (Canada)</t>
  </si>
  <si>
    <t>Satellite Offices:</t>
  </si>
  <si>
    <t>Tellitwell International Inc, Cebu, Philippines (Founded 2018)</t>
  </si>
  <si>
    <t>Workforce:</t>
  </si>
  <si>
    <t>60 full time and around 50 contractors</t>
  </si>
  <si>
    <t>Wire Transfer/ Bank Transfer/ Direct Bank Deposit</t>
  </si>
  <si>
    <t>Official Address:</t>
  </si>
  <si>
    <t>Author Compensation Calculator</t>
  </si>
  <si>
    <t>MARKETING</t>
  </si>
  <si>
    <t>What is your book all about?</t>
  </si>
  <si>
    <t>2031 Store Street
Victoria, BC
V8T 5L9</t>
  </si>
  <si>
    <r>
      <rPr/>
      <t>We now have bank accounts set-up in each of the markets. For the complete bank details, see T</t>
    </r>
    <r>
      <rPr>
        <color rgb="FF1155CC"/>
        <u/>
      </rPr>
      <t>ellwell Multicurrency Account Details for Bank Transfers</t>
    </r>
  </si>
  <si>
    <t>How many words is this manuscript again?</t>
  </si>
  <si>
    <t>NAME</t>
  </si>
  <si>
    <t>Have you gone as far as envisioning a cover design for this book?</t>
  </si>
  <si>
    <t>EXT #</t>
  </si>
  <si>
    <t>What formats do you want this book to be available in? Paperback? Hardback? eBook? Audiobook?</t>
  </si>
  <si>
    <t>What is your ultimate goal for this book?</t>
  </si>
  <si>
    <t>Hardcover Distribution</t>
  </si>
  <si>
    <t>What is the background of this project?</t>
  </si>
  <si>
    <t>Have you had someone go over the manuscript for feedback?</t>
  </si>
  <si>
    <t>author would like to have an idea/estimate of how much he is getting for each copy sold</t>
  </si>
  <si>
    <t>EMAIL ADDRESS</t>
  </si>
  <si>
    <t>Do you have a preferred size or dimension for this book?</t>
  </si>
  <si>
    <t>Is your book just for family and friends, or is it something you intend for a broader audience?</t>
  </si>
  <si>
    <t>Is this your first time publishing a book?</t>
  </si>
  <si>
    <t>What inspried you to write about this topic?</t>
  </si>
  <si>
    <t xml:space="preserve">1. Make sure author understands that the resulting royalties as calculated is for the purpose of discussion only. The earliest time when actual estimates of royalties per copy sold could be determined is after authors sets the suggest retail price per market. 
2. Smallest trim size available is 5x6.
3. Binding for paperback books is perfect bound. Saddle stich is no longer available. 
4. Hardcover w/ Dust Jacket's main cover is no longer cloth but printed digital cloth cover
5. Retailer discount adviseable is 35% for Chapters Indigo Consideration
</t>
  </si>
  <si>
    <t>Complexity Calculator</t>
  </si>
  <si>
    <t>LOCATION</t>
  </si>
  <si>
    <t>Has a professional editor helped you polish the manuscript?</t>
  </si>
  <si>
    <t>MARKET ASSIGNMENT</t>
  </si>
  <si>
    <t>Do you have any photographs to insert? Graphics?</t>
  </si>
  <si>
    <t>Do you have a timeline for publication?</t>
  </si>
  <si>
    <t>Have you always been writing?</t>
  </si>
  <si>
    <t>Market Presence:</t>
  </si>
  <si>
    <t>What are your thoughts on editing?</t>
  </si>
  <si>
    <t>Canada, USA, Australia, UK and major EU countries</t>
  </si>
  <si>
    <t xml:space="preserve">Do you have tables and lists to insert? If so, can you describe
them to me?
</t>
  </si>
  <si>
    <t>CORE GROUP</t>
  </si>
  <si>
    <t>Premium Cover Design Service</t>
  </si>
  <si>
    <t>author would like to know how much extra cost is involved to insert more than 30 images, or layout block quotes and/or side bar texts, or to insert footnotes/endnotes, or to insert tables and/or lists in the interior, or to have a list of terms indexed.</t>
  </si>
  <si>
    <t xml:space="preserve">Is the manuscript completed? </t>
  </si>
  <si>
    <t xml:space="preserve">1. Image insertions may refer to photographs, graphics, illustrations, clip-arts and any other non-text element stored in JPEG/PNG/TIFF format.
2. Input the total number of images to be inserted. For example, if total is 90, input 90. Do not subtract 30 from it. The calculator takes into account how many of that is already included in the cost of the package. 
3. For footnotes/endnotes, input the total number of citations. 
4. For index, input the total number of terms to be indexed. 
5. For tables and lists (be it simple or complex), input the total number. 
6. Make sure to take the number under the 'TOTAL' row. The number indicated in the sub-total row is yet to be deducted of what is covered in the cost of the package. 
7. Invoice line item for this amount is 'Extra Design Time'. The number of hours is the quantity. To get this, divide the number beside the total amount by 60. </t>
  </si>
  <si>
    <t>Corporate Websites:</t>
  </si>
  <si>
    <t>Octavo Print Calculator</t>
  </si>
  <si>
    <t>tellwellpublishing.com</t>
  </si>
  <si>
    <t>If not, how far have you gone?</t>
  </si>
  <si>
    <t>Enhanced Amazon Distribution (Paperback OR Hardcover)</t>
  </si>
  <si>
    <t>Are there any other  specific requests/special instructions that you think are important for your designer to know?</t>
  </si>
  <si>
    <t>Author Website - Basic</t>
  </si>
  <si>
    <t>Is your manuscript in MS word format?</t>
  </si>
  <si>
    <t>Promotional Materials (Standard)</t>
  </si>
  <si>
    <t>Editorial Evaluation</t>
  </si>
  <si>
    <t>Upgrade to Author Website - Advanced</t>
  </si>
  <si>
    <t>Book Marketing Consultation and Strategy</t>
  </si>
  <si>
    <t>Smashwords eBook Distribution</t>
  </si>
  <si>
    <t>Kindle eBook Distribution</t>
  </si>
  <si>
    <t>Kobo eBook Disribution</t>
  </si>
  <si>
    <t>Press Release Write-up</t>
  </si>
  <si>
    <t>author would like to receive a quote or place an order for a number of copies in addition to the publishing package.</t>
  </si>
  <si>
    <t>Activity Sheets (Kids)</t>
  </si>
  <si>
    <t xml:space="preserve">1. Make sure author understands that the resulting quote is based on the techinical specs (e.g. page count, format, size, black and white or colour) given at the time of purchase/order placement. If the final book, once finished, has different specs, an increase in the cost per copy may result. If this happens, Project Manager will discuss this to the author and author will be asked to either adjust the quantity to fit the total amount initially paid or pay the corresponding price difference. 
2. It is a must to issue a PC Printing Quote Form to the author. Our printing dept use this as a tool to effectively communicate the change in price when needed. 
</t>
  </si>
  <si>
    <t>Mitchel Anderson</t>
  </si>
  <si>
    <t>publisher@tellwell.ca</t>
  </si>
  <si>
    <t>Ingram Shipping Calculator (For ABO shipping cost)</t>
  </si>
  <si>
    <t>CA</t>
  </si>
  <si>
    <t>Toll-Free Numbers:</t>
  </si>
  <si>
    <t>1-888-415-1541 (Canada)</t>
  </si>
  <si>
    <t>Scott Lunn</t>
  </si>
  <si>
    <t>scott@tellwell.ca</t>
  </si>
  <si>
    <t>1 (800) 891-4160 (USA)</t>
  </si>
  <si>
    <t>Jennifer Chapin</t>
  </si>
  <si>
    <t>Octavo print calculator requires shipping cost information from Ingram's calculator</t>
  </si>
  <si>
    <t>Coloring Sheets (Kids)</t>
  </si>
  <si>
    <t>Social Media Graphics - 5</t>
  </si>
  <si>
    <t>jennifer@tellwell.ca</t>
  </si>
  <si>
    <r>
      <rPr>
        <rFont val="Arial"/>
        <color theme="1"/>
      </rPr>
      <t xml:space="preserve">1. Only applicable when Octavo print calculator prompts you with a note saying </t>
    </r>
    <r>
      <rPr>
        <rFont val="Arial"/>
        <i/>
        <color theme="1"/>
      </rPr>
      <t xml:space="preserve">"Selected destination and quantity is calculated base on Ingram shipping cost."  </t>
    </r>
    <r>
      <rPr>
        <rFont val="Arial"/>
        <color theme="1"/>
      </rPr>
      <t xml:space="preserve">When applicable, this can be seen just below the 'Ingram Shipping Cost' field in the Octavo print calculator. </t>
    </r>
  </si>
  <si>
    <t>61 (1800) 934-224 (Australia)</t>
  </si>
  <si>
    <t>Ben Belding</t>
  </si>
  <si>
    <t>IMPORTANT REMINDERS</t>
  </si>
  <si>
    <t>ben@tellwell.ca</t>
  </si>
  <si>
    <t>44 0800 058 4645 (UKI)</t>
  </si>
  <si>
    <t>INTERNATIONAL TEAM</t>
  </si>
  <si>
    <t>Email Contact:</t>
  </si>
  <si>
    <t>contact@tellwellpublishing.com</t>
  </si>
  <si>
    <t>TELLWELL YOUTUBE CHANNEL VIDEOS</t>
  </si>
  <si>
    <t>Nelson Ty</t>
  </si>
  <si>
    <t>1. Discounts in the table are the ones that you can give independently at your own discretion.</t>
  </si>
  <si>
    <t>nelson@tellwellpublishing.com</t>
  </si>
  <si>
    <t>2. You can only give one type of discount. Hence, it should only be a cash discount OR free services. You CANNOT give your client 10% cash discount and at the same time give them a number of services for FREE.</t>
  </si>
  <si>
    <t>The Evolution of Self-Publishing with Tellwell's Founder &amp; CEO Tim Lindsay</t>
  </si>
  <si>
    <t>8 Tips for Choosing the Right Self-Publishing Company for Your Book</t>
  </si>
  <si>
    <t>Debunking 15 Self-Publishing Myths with Tellwell Publishing Consultant Mitch Anderson</t>
  </si>
  <si>
    <t>Is Self-Publishing Legitimate? The Case for Self-Publishing</t>
  </si>
  <si>
    <t>Navigating Vulnerability in Memoir Writing with Self-Published Author Karen Harmon</t>
  </si>
  <si>
    <t>Increase Your Amazon Ranking (And Book Sales!) With These Tips!</t>
  </si>
  <si>
    <t>Funding Qualifying Qs</t>
  </si>
  <si>
    <t>CEBU</t>
  </si>
  <si>
    <t>US</t>
  </si>
  <si>
    <t>3. These discounts should NOT be used in conjunction with another promo/special deal.</t>
  </si>
  <si>
    <t>Is writing something you do full time?</t>
  </si>
  <si>
    <t>Is this project related to what you do?</t>
  </si>
  <si>
    <t>Are you planning to work on a second book?</t>
  </si>
  <si>
    <r>
      <rPr>
        <rFont val="Arial"/>
        <color theme="1"/>
        <sz val="12.0"/>
      </rPr>
      <t xml:space="preserve">So the total cost would be $ 11,999. </t>
    </r>
    <r>
      <rPr>
        <rFont val="Arial"/>
        <color rgb="FFFF0000"/>
        <sz val="12.0"/>
      </rPr>
      <t>[pause. remain silent until author reacts.]</t>
    </r>
  </si>
  <si>
    <t>So the total cost is $11,999. Does that sound doable?</t>
  </si>
  <si>
    <t>WHEN AUTHOR ASKS ABOUT...</t>
  </si>
  <si>
    <t>The Evolution of Book Promotion with Author Karen Cumming</t>
  </si>
  <si>
    <t>7 Marketing Tips to Get Your Children's Book Noticed!</t>
  </si>
  <si>
    <t>PRF/PDF Drop Discounting and Closing Guidelines</t>
  </si>
  <si>
    <t>20% OFF ON THE STANDARD PACKAGE</t>
  </si>
  <si>
    <t>CAD 500 | USD 450 | AUD 550 | GBP 350</t>
  </si>
  <si>
    <t xml:space="preserve">Refer to above. </t>
  </si>
  <si>
    <t>Note: Please log 'PDF Drop - Cover' and/or 'PDF Drop - Interior' in the invoice</t>
  </si>
  <si>
    <t>Check</t>
  </si>
  <si>
    <r>
      <rPr>
        <rFont val="Arial"/>
        <color theme="1"/>
      </rPr>
      <t xml:space="preserve">Have the check written out to </t>
    </r>
    <r>
      <rPr>
        <rFont val="Arial"/>
        <b/>
        <color theme="1"/>
      </rPr>
      <t>'Tellwell Talent, Inc.'</t>
    </r>
    <r>
      <rPr>
        <rFont val="Arial"/>
        <color theme="1"/>
      </rPr>
      <t xml:space="preserve"> and have the check sent to:
2031 Store Street
Victoria, BC
V8T 5L9</t>
    </r>
  </si>
  <si>
    <t>1. Before closing the project though, please make sure you have had the file reviewed/verified by our design team.This should take place before sale is closed wherever possible, and with understanding that discounts are only applicable if the file is truly print-ready.</t>
  </si>
  <si>
    <t>2. Post request in #designteam to confirm the file is print-ready, confirm trim size</t>
  </si>
  <si>
    <t>Number of published books:</t>
  </si>
  <si>
    <t>IMPORTANT!!!</t>
  </si>
  <si>
    <t>Discuss/Answer...</t>
  </si>
  <si>
    <t>More than 4,000 titles from more than 1,500 authors across the globe</t>
  </si>
  <si>
    <t>Josephine Cataluña</t>
  </si>
  <si>
    <t>3. Provide Guide articles to authors:</t>
  </si>
  <si>
    <r>
      <rPr>
        <sz val="12.0"/>
      </rPr>
      <t>For non-card payments, send a request to</t>
    </r>
    <r>
      <rPr>
        <color rgb="FF1155CC"/>
        <sz val="12.0"/>
        <u/>
      </rPr>
      <t xml:space="preserve"> #payment_requests</t>
    </r>
    <r>
      <rPr>
        <sz val="12.0"/>
      </rPr>
      <t xml:space="preserve"> slack channel so that payment can be processed. Template below:</t>
    </r>
  </si>
  <si>
    <t>josephine@tellwell.com.au</t>
  </si>
  <si>
    <t>AU</t>
  </si>
  <si>
    <t>WHAT DOES TELLWELL DO?</t>
  </si>
  <si>
    <t>Founder &amp; CEO:</t>
  </si>
  <si>
    <t>Timothy Lindsay</t>
  </si>
  <si>
    <t>Melissa Barker</t>
  </si>
  <si>
    <t>melissa.barker@tellwell.com.au</t>
  </si>
  <si>
    <t>Review Links:</t>
  </si>
  <si>
    <t>Google Reviews</t>
  </si>
  <si>
    <t>"We are a global assisted self-publishing company based in Victoria,Canada with clients across the US/Canada region, Australia and very recently, UK and other European countries. Our services are focused on helping authors navigate through the overwhelming, and at times, daunting process of self-publishing a book. Guiding them in doing things the right way and closely working with them in creating a book whose quality is at par with industry standards."
"We are a supported/assisted self-publishing company. So what we do is assist authors who would want to go forth and self-publish their book. We provide them with the skills and the talents that they need to get through the entire publishing process. We are a team of editors, cover and interior designers, illustrators, book marketing experts, project managers and even publishing consultants Our authors often refer to us as a one-stop-shop for all their publishing needs."</t>
  </si>
  <si>
    <t>I'm providing my own interior design, what do I need to know?</t>
  </si>
  <si>
    <t>I'm providing my own cover design, what do I need to know?</t>
  </si>
  <si>
    <t>DO YOU CHARGE A FEE?</t>
  </si>
  <si>
    <r>
      <rPr>
        <rFont val="Arial"/>
        <color theme="1"/>
        <sz val="14.0"/>
      </rPr>
      <t xml:space="preserve">Hi @Mich @JH, please confirm receipt of </t>
    </r>
    <r>
      <rPr>
        <rFont val="Arial"/>
        <b/>
        <i/>
        <color theme="1"/>
        <sz val="14.0"/>
      </rPr>
      <t>(PayPal/E-transfer/Wire Transfer/Bank Deposit/Check)</t>
    </r>
    <r>
      <rPr>
        <rFont val="Arial"/>
        <color theme="1"/>
        <sz val="14.0"/>
      </rPr>
      <t xml:space="preserve"> payment from </t>
    </r>
    <r>
      <rPr>
        <rFont val="Arial"/>
        <b/>
        <i/>
        <color theme="1"/>
        <sz val="14.0"/>
      </rPr>
      <t>(name of author</t>
    </r>
    <r>
      <rPr>
        <rFont val="Arial"/>
        <color theme="1"/>
        <sz val="14.0"/>
      </rPr>
      <t xml:space="preserve">) amounting to </t>
    </r>
    <r>
      <rPr>
        <rFont val="Arial"/>
        <b/>
        <i/>
        <color theme="1"/>
        <sz val="14.0"/>
      </rPr>
      <t>(expected amount)</t>
    </r>
    <r>
      <rPr>
        <rFont val="Arial"/>
        <color theme="1"/>
        <sz val="14.0"/>
      </rPr>
      <t xml:space="preserve">. Please apply as payment to project </t>
    </r>
    <r>
      <rPr>
        <rFont val="Arial"/>
        <b/>
        <i/>
        <color theme="1"/>
        <sz val="14.0"/>
      </rPr>
      <t>(insert Octavo project link)</t>
    </r>
    <r>
      <rPr>
        <rFont val="Arial"/>
        <color theme="1"/>
        <sz val="14.0"/>
      </rPr>
      <t>. Thank you!</t>
    </r>
  </si>
  <si>
    <t>4. Other notes:</t>
  </si>
  <si>
    <t>a. Has editing: Au must provide Word document manuscript at start, then finalize their interior layout after editing.</t>
  </si>
  <si>
    <t>b. Has ebooks: Au must provide properly packaged InDesign (.indd) files, otherwise the eBook will have to be fixed layout.</t>
  </si>
  <si>
    <t>"Yes, we do charge a fee for our services, but what truly matters is the value you gain in return. Our publishing packages are designed to provide expert guidance, professional quality, and the best possible results for your book. We offer a range of options to suit different needs and available funds, ensuring you have the right level of support. I’d be happy to go over the details with you and find the best fit for your publishing goals!"</t>
  </si>
  <si>
    <t>STAND-ALONE SERVICES GUIDELINES</t>
  </si>
  <si>
    <t>CANADA TAX RATES</t>
  </si>
  <si>
    <t>SERVICE TYPE</t>
  </si>
  <si>
    <t>EDITING/ Why should I have my book edited?</t>
  </si>
  <si>
    <t>LINE ITEM TO LOG IN LIEU OF PUB PACKAGE</t>
  </si>
  <si>
    <r>
      <rPr>
        <rFont val="Arial"/>
        <i/>
        <color theme="1"/>
        <sz val="12.0"/>
      </rPr>
      <t xml:space="preserve">"Very good question! And very important too! Now, let me put it this way. There is an unwritten contract between the author and their readers—a contract founded on trust that is intact whenever a book is purchased, picked up, and opened. In a practical way so to speak, a reader buys a book trusting that what's inside is worth the book's price. Therefore, things which cause readers to think otherwise or those which leave negative impressions about the book like typos, grammar errors and other editorial mishaps, is a surefire way to break that trust one reader after the other. It doesn’t take very many typos and errors to dissolve an author’s credibility and lose reader support. That is why getting your book edited is an important consideration. Not only that it helps authors get rid of editorial mishaps, it also helps them sharpen their eye and hone their skills as a writer and self-critic."
"On a marketing perspective, authors who plan to market their book in any way should also plan for professional editing. Nothing is more disappointing than sending your published book out for reviews, only to receive low ratings based solely on how unpolished the final version is."
</t>
    </r>
    <r>
      <rPr>
        <rFont val="Arial"/>
        <b/>
        <i/>
        <color theme="1"/>
        <sz val="12.0"/>
      </rPr>
      <t>EDITOR’S FEEDBACK REPORT</t>
    </r>
    <r>
      <rPr>
        <rFont val="Arial"/>
        <i/>
        <color theme="1"/>
        <sz val="12.0"/>
      </rPr>
      <t xml:space="preserve">
“The Editor’s Feedback Report, or EFR, is one of the first steps once your project begins production. One of our editors reviews your manuscript and prepares a short report highlighting things like clarity, structure, author voice, grammar, and overall readiness for the market. It’s not an edit yet, but it helps determine what level of editing your manuscript may benefit from, and it includes a small sample edit so you can see how our editors work.”
</t>
    </r>
    <r>
      <rPr>
        <rFont val="Arial"/>
        <b/>
        <i/>
        <color theme="1"/>
        <sz val="12.0"/>
      </rPr>
      <t>SUBSTANTIVE EDITING</t>
    </r>
    <r>
      <rPr>
        <rFont val="Arial"/>
        <i/>
        <color theme="1"/>
        <sz val="12.0"/>
      </rPr>
      <t xml:space="preserve">
“Substantive editing is the most comprehensive editing service we offer. It focuses first on the big-picture elements of your manuscript, such as structure, clarity of ideas, pacing, and how well the story or message flows for the reader. After that developmental review, the editor performs a second round that focuses on the technical details, including grammar, spelling, sentence structure, and overall readability.
This service includes two rounds of editing, with time in between for the author to review the feedback and revise the manuscript based on the editor’s suggestions. Each round typically takes about two weeks for manuscripts up to 50,000 words. Because it addresses both the overall story and the finer details, substantive editing is often the closest experience to the level of editing traditionally published books receive, and it’s usually the best option for authors who want the strongest possible version of their manuscript before publication.”
</t>
    </r>
    <r>
      <rPr>
        <rFont val="Arial"/>
        <b/>
        <i/>
        <color theme="1"/>
        <sz val="12.0"/>
      </rPr>
      <t>EDITING CONSULTATION</t>
    </r>
    <r>
      <rPr>
        <rFont val="Arial"/>
        <i/>
        <color theme="1"/>
        <sz val="12.0"/>
      </rPr>
      <t xml:space="preserve">
“Authors who choose substantive editing also have the option to add a one-on-one consultation call with their editor. This usually takes place between editing rounds and gives the author a chance to ask questions, discuss the editor’s feedback in more detail, and get additional guidance on improving the manuscript.”
</t>
    </r>
    <r>
      <rPr>
        <rFont val="Arial"/>
        <b/>
        <i/>
        <color theme="1"/>
        <sz val="12.0"/>
      </rPr>
      <t>COPYEDITING</t>
    </r>
    <r>
      <rPr>
        <rFont val="Arial"/>
        <i/>
        <color theme="1"/>
        <sz val="12.0"/>
      </rPr>
      <t xml:space="preserve">
“Copyediting focuses on the technical accuracy and polish of your writing. During this stage, the editor carefully reviews the manuscript to correct grammar, spelling, punctuation, sentence structure, and consistency in style or wording.
This service includes one full editorial pass through the manuscript, where the editor works line by line to make sure the writing reads clearly and professionally. For manuscripts up to 50,000 words, the turnaround is typically around two weeks. Copyediting is widely considered the minimum level of professional editing most books should have, because it ensures the final manuscript is clean, credible, and ready for readers.”
</t>
    </r>
    <r>
      <rPr>
        <rFont val="Arial"/>
        <b/>
        <i/>
        <color theme="1"/>
        <sz val="12.0"/>
      </rPr>
      <t>PROOFREADING</t>
    </r>
    <r>
      <rPr>
        <rFont val="Arial"/>
        <i/>
        <color theme="1"/>
        <sz val="12.0"/>
      </rPr>
      <t xml:space="preserve">
“Proofreading is the final quality check that happens after your book has been designed and formatted. At this stage, the manuscript has already gone through editing, so the proofreader’s job is to look for any remaining typos, small textual errors, or formatting issues that may have appeared during the design process.
Proofreading is typically completed after the layout of the book is finished, and for manuscripts up to 50,000 words the turnaround is usually about two weeks. It’s recommended for most books as a final safeguard before publication, because even well-edited manuscripts can sometimes pick up small errors during the design stage.”</t>
    </r>
  </si>
  <si>
    <t>DISTRIBUTION/Availability in Amazon/Bookstore Display</t>
  </si>
  <si>
    <t>OTHER INVOCING GUIDELINES</t>
  </si>
  <si>
    <t>FILE REQUIREMENTS</t>
  </si>
  <si>
    <r>
      <rPr>
        <rFont val="Arial"/>
        <i/>
        <color theme="1"/>
        <sz val="12.0"/>
      </rPr>
      <t xml:space="preserve">"We take care of distributing your book to major online retailers like Amazon.com, Chapters.ca, BookDepository, and others. We also make your book available for order by bookstores and libraries in case they do want to display some copies on their shelves."
</t>
    </r>
    <r>
      <rPr>
        <rFont val="Arial"/>
        <b/>
        <i/>
        <color theme="1"/>
        <sz val="12.0"/>
      </rPr>
      <t>PREMIUM DISTRO SUPPORT FEE (AUTO-RENEWED EVERY YEAR UNLESS OPTED-OUT)</t>
    </r>
    <r>
      <rPr>
        <rFont val="Arial"/>
        <i/>
        <color theme="1"/>
        <sz val="12.0"/>
      </rPr>
      <t xml:space="preserve">
“One key feature of our Managed Distribution service is the ongoing distribution support even after the book has been released to retailers. Included in the cost of our publishing packages is 1 year of Premium Distribution Support, which allows authors to request unlimited changes to pricing, discounting, metadata, and other distribution-related settings across retail channels. After the first year, Premium Distribution Support automatically renews annually unless the author opts out. If the author chooses not to continue Premium Support, they may downgrade to Basic Distribution Support, where no annual fee applies. However, while changes can still be requested under Basic Distribution Support, they are processed at a $25 fee per change, whereas Premium Support allows those adjustments to be made as often as needed without additional charges. Premium Distribution Support is typically most valuable for authors who expect to actively promote their book, experiment with pricing or discounts, update their book metadata, or run multiple marketing campaigns, as it gives them the flexibility to make those adjustments quickly and frequently without incurring additional fees.”
</t>
    </r>
    <r>
      <rPr>
        <rFont val="Arial"/>
        <b/>
        <i/>
        <color theme="1"/>
        <sz val="12.0"/>
      </rPr>
      <t>GUARANTEED DISPLAY ON BOOKSTORES</t>
    </r>
    <r>
      <rPr>
        <rFont val="Arial"/>
        <i/>
        <color theme="1"/>
        <sz val="12.0"/>
      </rPr>
      <t xml:space="preserve">
"Tellwell's distribution services includes making your book availble for ordering by physical bookstores, brick and mortar sellers and libraries. What this means is that these establishments can easily order your book through Ingram along with the other titles in their inventory. These establishments often procure copies straight from Ingram for ease of billing, inventory and returns. Hence, having your book available through Ingram boosts the chances of getting a copy of your book displayed. The only thing you need to think about now is convincing these establishments that your book is worth a spot on their shelf."
</t>
    </r>
    <r>
      <rPr>
        <rFont val="Arial"/>
        <b/>
        <i/>
        <color theme="1"/>
        <sz val="12.0"/>
      </rPr>
      <t>FORMAT SUGGESTIONS</t>
    </r>
    <r>
      <rPr>
        <rFont val="Arial"/>
        <i/>
        <color theme="1"/>
        <sz val="12.0"/>
      </rPr>
      <t xml:space="preserve">
"In my opinion, it is always best to make your book available in all formats appropriate for the kind of book you have. Format preference is out of our control. Just like any other product in the market, offering your book in different variants/formats eliminates loss due to buyer preference. You could never force an audiobook consumer to read a paperback book. Same way that you can't force an eBook reader to purchase a hardcover. Hence, if you were to ask me, if budget allows it, I'd go for all formats appropriate for the kind of book you have... And that is... Paperback, Hardback, eBook, Audiobook. [don't forget Audiobook.always mention]
</t>
    </r>
    <r>
      <rPr>
        <rFont val="Arial"/>
        <b/>
        <i/>
        <color theme="1"/>
        <sz val="12.0"/>
      </rPr>
      <t>ENHANCED AMAZON DISTRO</t>
    </r>
    <r>
      <rPr>
        <rFont val="Arial"/>
        <i/>
        <color theme="1"/>
        <sz val="12.0"/>
      </rPr>
      <t xml:space="preserve">
“The Enhanced Amazon Distribution service not only resolves enlistment issues common to country-specific Amazon websites like Amazon.com.au, Amazon.ca, and Amazon.co.uk but also addresses the problem of inflated book prices and frequent out-of-stock notices on these platforms. This frustration arises from the challenge of coordinating orders with third-party distributors, such as Ingram, through Amazon's country-specific platforms. By directly setting up the book with Amazon, this service ensures that paperback orders placed through Amazon are printed and fulfilled by Amazon itself, eliminating the reliance on third-party distributors. Additionally, listings on Amazon.ca, Amazon.com.au, and Amazon.co.uk will consistently display your Suggested Retail Price, ensuring transparency and a smoother shopping experience for readers.”
"The Enhanced Amazon Distribution service resolves the enlistment issues which often occur in Amazon.ca and a number of other country-specific Amazon websites. The most common of these issues is how books often appear out of stock in these websites, most especially Amazon.ca. Because of this, readers epxerience difficulty in placing orders. The problem is rooted on the challenge that Amazon country-specific websites have in coordinating orders with Ingram.  The Enhanced Amazon Distribution service solves this by setting-up the book directly with Amazon. In this way, paperback orders placed through Amazon will be printed and fulfilled by Amazon itself, rather than through Ingram. Furthermore the listings on Amazon.ca and .com won't say ""out of stock"" and always show at your Suggested Retail Price."  </t>
    </r>
  </si>
  <si>
    <t>ROYALTIES/How much will I earn from my book?</t>
  </si>
  <si>
    <t>Rubby Destura</t>
  </si>
  <si>
    <r>
      <rPr>
        <rFont val="Arial"/>
        <i/>
        <color theme="1"/>
        <sz val="12.0"/>
      </rPr>
      <t xml:space="preserve">"I'm glad you asked. One of the biggest reasons Tellwell stands apart from other publishing options is our royalty structure and transparency.
Tellwell offers authors 100% of their net royalties. What that means is that once the online retailer takes their standard distribution fee and the print cost is covered, the remaining proceeds go directly to the author.
Our model is built on the belief that authors should maintain full ownership of their work and benefit directly from the success of their book. We simply provide the professional publishing services and support to help bring their book to market while ensuring everything remains clear and transparent.'
</t>
    </r>
    <r>
      <rPr>
        <rFont val="Arial"/>
        <b/>
        <i/>
        <color theme="1"/>
        <sz val="12.0"/>
      </rPr>
      <t>Payout Terms and Schedule</t>
    </r>
    <r>
      <rPr>
        <rFont val="Arial"/>
        <i/>
        <color theme="1"/>
        <sz val="12.0"/>
      </rPr>
      <t xml:space="preserve">
"Tellwell accumulates your profit on a quarterly basis. Payout schedule is 45 days at the end of each quarter. Provided that an author's accumulated royalty reached at least $100, a royalty check shall be generated and sent out via post tp authors within Canada while PayPal payouts to authors within USA, Australia, UK and other countries. In terms of books sales reporting, posting in Octavo is scheduled 15 days at the end of each month. A copy of the same report shall be sent via email as well."
</t>
    </r>
    <r>
      <rPr>
        <rFont val="Arial"/>
        <b/>
        <i/>
        <color theme="1"/>
        <sz val="12.0"/>
      </rPr>
      <t>Estimating Royalties
W/O AUTHOR CALC</t>
    </r>
    <r>
      <rPr>
        <rFont val="Arial"/>
        <i/>
        <color theme="1"/>
        <sz val="12.0"/>
      </rPr>
      <t xml:space="preserve">
"A simple way to understand how print royalties are calculated is to remember that your retail price, or the price your book sells for online, can be broken down into three components: (1) the online retailer’s share, (2) the print cost, and (3) the net proceeds or profit. When a book is sold, the retailer first deducts their distribution fee from the retail price. After that, the cost of printing the book is deducted. Whatever amount remains after those two deductions is the net proceeds, and since Tellwell operates under 100% net royalties, that entire remainder goes directly to the author.
For example, if your book sells for $10, and the retailer’s share is $3 while the print cost is $2, the calculation would be: $10 minus $3 equals $7, then $7 minus $2 equals $5. That $5 is the net proceeds, and the author receives the full $5 royalty for that sale."
</t>
    </r>
    <r>
      <rPr>
        <rFont val="Arial"/>
        <b/>
        <i/>
        <color theme="1"/>
        <sz val="12.0"/>
      </rPr>
      <t>W/AUTHOR CALC</t>
    </r>
    <r>
      <rPr>
        <rFont val="Arial"/>
        <i/>
        <color theme="1"/>
        <sz val="12.0"/>
      </rPr>
      <t xml:space="preserve">
"To give you an idea of how much your royalties would be for each book copy you will sell, let me direct your attention to our author compensation calculator.
Interior colour let's you choose the ink quality for your book. Premium Color is best for photo/art books, Standard Color is widely chosen for Children's books, while Black and White of course is for books that do not have any full color element in it.
Trim Size. Book sizes are categorized into 2: SMALL and LARGE. If your book is 6x9 or smaller, it falls under SMALL. Otherwise, it's under LARGE.
Binding for paperback is perfect bound. That is the industry standard. For hardcover, case laminate or dust jacket.
Page count. Let's work on estimates. If you could give me the closest estimate that you have.
Retail Price. It is in USD to make this tool universally relevant. But for your actual book, you will be asked to set one retail price per book market/currency. So one price for CAD, AUD, USD, GBP, EUR, etc.
Retailer Discount, or simply put, the online retailer’s cut, is the portion of the retail price that goes to the retailer for selling and distributing your book through their platform. The minimum retailer discount is 40%, although many authors choose to set it slightly higher depending on their distribution goals. Some retail and wholesale channels require a certain minimum discount in order to list a book in their system. Another important thing to keep in mind is that a higher retailer discount can make your book more appealing to retailers and distributors, which may improve its chances of wider availability. This percentage is calculated from the retail price of the book, and it is deducted first before the print cost is applied when calculating the author’s net proceeds."
*Go to "CONSULTATION RESOURCES" tab and make sure to read the notes. Set the right expectations. Don't mislead your author into believing that the figures in the calculator are the royalties the author will earn. 
</t>
    </r>
    <r>
      <rPr>
        <rFont val="Arial"/>
        <b/>
        <i/>
        <color theme="1"/>
        <sz val="12.0"/>
      </rPr>
      <t>Ebook Royalties</t>
    </r>
    <r>
      <rPr>
        <rFont val="Arial"/>
        <i/>
        <color theme="1"/>
        <sz val="12.0"/>
      </rPr>
      <t xml:space="preserve">
"Unlike print royalties, eBook royalties are easy to calculate. You just need to remember this line: "For as long as you price your eBook between $2.99-$9.99, 70% of such retail price goes to the author while 30% goes to the eBook retailer."
</t>
    </r>
    <r>
      <rPr>
        <rFont val="Arial"/>
        <b/>
        <i/>
        <color theme="1"/>
        <sz val="12.0"/>
      </rPr>
      <t>Audiobook Royalties</t>
    </r>
    <r>
      <rPr>
        <rFont val="Arial"/>
        <i/>
        <color theme="1"/>
        <sz val="12.0"/>
      </rPr>
      <t xml:space="preserve">
"Audiobook royalties work a little differently from print or eBook royalties because audiobook platforms use their own pricing system. Currently, authors cannot set the retail price of an audiobook; the platform determines it automatically based on factors such as the audiobook’s length and file size. There are two distribution options available: exclusive distribution, which pays 40% of the retail price, and non-exclusive distribution, which pays 25% of the retail price. Since Tellwell projects now operate under 100% net royalties, the author simply receives the full royalty amount generated by the platform. For example, if an audiobook sells for $10, the author would receive $4 per sale under exclusive distribution or $2.50 per sale under non-exclusive distribution, depending on the distribution model selected."
</t>
    </r>
  </si>
  <si>
    <t>rubby@tellwellpublishing.com</t>
  </si>
  <si>
    <t>PRINT-ON-DEMAND</t>
  </si>
  <si>
    <t>UK/EU</t>
  </si>
  <si>
    <t>Editing Services</t>
  </si>
  <si>
    <t>"Print-on-demand is a manner of distribution where online retailers, like Amazon, print copies of your book as they are ordered. This technology allows for printing one copy per purchase, saving you from having to print books in bulk. The online retailer facilitates the prnting of the book, binding the book and shipping to your readers."</t>
  </si>
  <si>
    <t>MARKETING/How does Tellwell market their books?</t>
  </si>
  <si>
    <t>Just Editing Only Package + Actual Editing Service</t>
  </si>
  <si>
    <t xml:space="preserve">Manuscript in MS Word format. </t>
  </si>
  <si>
    <r>
      <rPr>
        <rFont val="Arial"/>
        <i/>
        <color theme="1"/>
        <sz val="12.0"/>
      </rPr>
      <t xml:space="preserve">
“Our marketing services are offered in various ways. Depending on your approach, you can go for a pre-bundled marketing package or individual a la carte marketing services. Either approach is fit if you already know your target audience or you simply understand the value and benefits of adding such marketing service.  
You can also choose to start with a consultation between you and our marketing team. We call that our Book Marketing Consultation and Strategy service where a marketing consultant spends about an hour with you on the phone to touch on the basics of book marketing and to talk about your marketing goals and objectives. Afterwards, the marketing consultant will then create a marketing plan or strategy for your book. The good thing about this marketing consultation is that it allows you to approach marketing on a personal level. In that way, the resulting marketing plan will take into consideration what you’re comfortable with, what you think is doable, and most especially what you’re confident in. Now, after going through the plan, you feel confident that you'll be able to carry out the activities on your own or outside help, you can take the plan with you and execute it independently. On the other hand, you may also arrange the execution of the plan by your marketing consultant if you feel more confident that way. You can also add-on a marketing package or a stand-alone marketing service if you like.”
</t>
    </r>
    <r>
      <rPr>
        <rFont val="Arial"/>
        <b/>
        <i/>
        <color rgb="FFFF0000"/>
        <sz val="12.0"/>
      </rPr>
      <t>Another spiel:</t>
    </r>
    <r>
      <rPr>
        <rFont val="Arial"/>
        <i/>
        <color theme="1"/>
        <sz val="12.0"/>
      </rPr>
      <t xml:space="preserve">
"That's a very good question. And I’m glad you’ve thought of that. Because it’s not unusual for first time authors to forget about book marketing. Moreover, it’s also very easy for a first-time author to confuse marketing with distribution and think that they are one and the same. That getting the book enlisted in Amazon is marketing. No. That’s simply distribution. Marketing refers to any effort done for the purpose of generating awareness about the book or increasing the book’s visibility among target readers. 
Also, I'd like to set the expectation, as early as now, that as a self-published author, the main marketer of your book should actually be you -the author. You own the book. You enjoy all the benefits from the book so it just makes sense that you decide and take responsibility of promoting your book to success. But of course, in doing so, we assumer 2 roles. First, we educate you with the basics of book marketing and the major dynamics that affect book sales. And secondly, we do supplemental marketing. Reinforcement to the main marketing that you are doing for your book.
So with that said, our marketing services start with a consultation between you and a book marketing expert. We call that our Book Marketing Consultation and Strategy service where a marketing consultant sits down with you, talks about your marketing goals and objectives and creates a marketing plan or strategy for your book. After going through the plan, you feel confident that you'll be able to carry out the activities on your own, you can take the plan with you and execute it independently. But after going through the proposed plan, there are activities which you feel that you would be more confident if Tellwell does them for you, then you can talk to your marketing consultant as to how much additional cost would that entail. There are packages, though, which bundle in them a number of marketing services on top of the book marketing consultation and strategy service."                                                        
</t>
    </r>
  </si>
  <si>
    <t>Better Business Bureau</t>
  </si>
  <si>
    <t>eBook Distribution Service</t>
  </si>
  <si>
    <t>eBook Only Package</t>
  </si>
  <si>
    <t>eBook Complete Package and eBook formatting must be logged together.</t>
  </si>
  <si>
    <t xml:space="preserve">High-resolution file of book cover and manuscript in MS Word format. If author has PDF/MOBI/EPUB files, better. </t>
  </si>
  <si>
    <t>Printing Services</t>
  </si>
  <si>
    <t>Debbie Boy Sumagang</t>
  </si>
  <si>
    <t>debbieboy@tellwellpublishing.com</t>
  </si>
  <si>
    <t>Printing Only Package</t>
  </si>
  <si>
    <t>Minimum order for paperback and hardback is 250 copies; for board books is 1,000 copies; for other specialty formats/printing please post in #printing-questions; $250 admin added to the entire invoice</t>
  </si>
  <si>
    <t xml:space="preserve">High-resolution print-ready file. PRF must be checked by design team before closing sale. </t>
  </si>
  <si>
    <t>Illustrations Services</t>
  </si>
  <si>
    <t>Illustrations Only Package</t>
  </si>
  <si>
    <t>Illustrations Bundle 1 or 2 plus 2 hrs Project Management Fee</t>
  </si>
  <si>
    <t>RECOMMENDATION - SUGGESTED SPIEL</t>
  </si>
  <si>
    <t>Marjorie Impas</t>
  </si>
  <si>
    <t>marjorie@tellwellpublishing.com</t>
  </si>
  <si>
    <t xml:space="preserve">Minimum of $ 2,000 CAD/ $2,500 AUD or 1,500 USD/1,500 EUR or 1,000 GBP. Must be settled in full. Must had Book Marketing Consultation and Strategy service. </t>
  </si>
  <si>
    <t xml:space="preserve">High-resolution file of book cover and/or PDF file of book. </t>
  </si>
  <si>
    <t>Writing Services</t>
  </si>
  <si>
    <t>Kyle Villaceran</t>
  </si>
  <si>
    <t>Ghostwriting Only Package/ Book Coaching Only Package</t>
  </si>
  <si>
    <t>Just Ghostwriting/Book Coaching Only Package + Actual Service</t>
  </si>
  <si>
    <t>TRANSITION FROM MUST ASK Qs</t>
  </si>
  <si>
    <t>Design Services</t>
  </si>
  <si>
    <t>Design Only Package</t>
  </si>
  <si>
    <t>Cover Design and/or Interior Layout</t>
  </si>
  <si>
    <t>kyle@tellwellpublishing.com</t>
  </si>
  <si>
    <r>
      <rPr>
        <rFont val="Arial"/>
        <b/>
        <i/>
        <color rgb="FF000000"/>
        <sz val="14.0"/>
      </rPr>
      <t xml:space="preserve">Note: For stand-alone services without admin/Project Management Fee, Orientation Call is </t>
    </r>
    <r>
      <rPr>
        <rFont val="Arial"/>
        <b/>
        <i/>
        <color rgb="FFFF0000"/>
        <sz val="14.0"/>
      </rPr>
      <t>skipped</t>
    </r>
    <r>
      <rPr>
        <rFont val="Arial"/>
        <b/>
        <i/>
        <color rgb="FF000000"/>
        <sz val="14.0"/>
      </rPr>
      <t xml:space="preserve">. </t>
    </r>
  </si>
  <si>
    <r>
      <rPr>
        <rFont val="Arial"/>
        <color theme="1"/>
        <sz val="12.0"/>
      </rPr>
      <t xml:space="preserve">"Alrighty, now thank you for answering all of the questions I had. I don't mean for us to have such a transactional conversation but you know one of the most important things I've learned as a Publishing Consultant is that the more I know about you and your project, the better my understanding is of your needs and the better my recommendation becomes. The last thing I want to do is offer something that isn't really giving you the best value for the cost. Okay? And if I may add, listening to you earlier made me appreciate your talent and your work even more. Believe me. There are hundreds of thousands of people who could only wish for what you have accomplished. Completing a manucript is an achievement. So always carry that with pride. Okay? "
</t>
    </r>
    <r>
      <rPr>
        <rFont val="Arial"/>
        <b/>
        <color rgb="FFFF0000"/>
        <sz val="12.0"/>
      </rPr>
      <t>ALTERNATIVE (LESS EMOTIONAL):</t>
    </r>
    <r>
      <rPr>
        <rFont val="Arial"/>
        <color theme="1"/>
        <sz val="12.0"/>
      </rPr>
      <t xml:space="preserve">
"Okay. Thanks for answering all of my questions. Now, sorry if I went a bit transactional right there I was only making sure I could gather as much details I could. The more I know about you and your project, the better my understanding is of your needs. That understanding in turn would help me come up with a recommendation which has the most value funding-wise."
</t>
    </r>
  </si>
  <si>
    <t>SLACK CHANNEL GUIDE</t>
  </si>
  <si>
    <t>CHANNEL</t>
  </si>
  <si>
    <t>RECOMMENDATION PROPER (TRADITIONAL PACKAGE)</t>
  </si>
  <si>
    <t>PURPOSE</t>
  </si>
  <si>
    <t>#general</t>
  </si>
  <si>
    <t>Company-wide announcements and work-based matters. This channel is for team-wide communication and announcements. All team members are in this channel.</t>
  </si>
  <si>
    <t>TELLWELL INTERNAL DIRECTORY</t>
  </si>
  <si>
    <r>
      <rPr>
        <rFont val="Arial"/>
        <color theme="1"/>
        <sz val="12.0"/>
      </rPr>
      <t xml:space="preserve">"Great! So I took some notes as we were talking earlier and looking at them right now, I already have the perfect package/set of services in mind. I'm confident that this package/set of services will not just help you with the salient parts of the process but would also give you a more wholistic book publishing experience. 
So I am recommending our </t>
    </r>
    <r>
      <rPr>
        <rFont val="Arial"/>
        <color rgb="FFFF0000"/>
        <sz val="12.0"/>
      </rPr>
      <t>(Traditional Package/Change accordingly)</t>
    </r>
    <r>
      <rPr>
        <rFont val="Arial"/>
        <color theme="1"/>
        <sz val="12.0"/>
      </rPr>
      <t xml:space="preserve">. Now, I chose to recommend this package because you mentioned </t>
    </r>
    <r>
      <rPr>
        <rFont val="Arial"/>
        <b/>
        <color rgb="FFFF0000"/>
        <sz val="12.0"/>
      </rPr>
      <t>(mention the inspiration why author wants to publish book OR the author's ultimate goal)</t>
    </r>
    <r>
      <rPr>
        <rFont val="Arial"/>
        <color theme="1"/>
        <sz val="12.0"/>
      </rPr>
      <t xml:space="preserve">. This package will exactly help you accomplish that. Let me cite a few reasons why. </t>
    </r>
  </si>
  <si>
    <t>#audiobooks</t>
  </si>
  <si>
    <t>Everything related to our audiobook service, including audiobook questions, eligibility reviews, project concerns, and coordination with audiobook specialists. For eligibility reviews, especially stand-alone audiobook projects or projects that did not go through editing, tag Simon O and Simon P.</t>
  </si>
  <si>
    <t>#bookmarketingexternal</t>
  </si>
  <si>
    <t>Communication with the Marketing Team for marketing service questions, deliverable clarifications, service concerns, campaign inquiries, and coordination with Marketing Coordinators (MCs).</t>
  </si>
  <si>
    <t>#consultants</t>
  </si>
  <si>
    <t>Main channel for the Sales Team. Use for announcements, updates, sales discussions, questions, celebrations, wins, feedback, and coaching discussions.</t>
  </si>
  <si>
    <t>#design_requests / #designteam</t>
  </si>
  <si>
    <t>Communication with the Design Team for print-readiness reviews, design questions, cover inquiries, layout concerns, and design clarification requests. Tag @John Hirayama for visibility.</t>
  </si>
  <si>
    <t>#dev_communication</t>
  </si>
  <si>
    <t>Communication with the Development Team regarding Octavo and internal systems, including bug reports, feature requests, technical concerns, and system functionality questions.</t>
  </si>
  <si>
    <t>#digital-marketing-support</t>
  </si>
  <si>
    <t>Communication with the Digital Marketing Team for lead feedback, appointment concerns, lead quality questions, CRM clarifications, and other digital marketing concerns. Tag Harry and your Sales Manager.</t>
  </si>
  <si>
    <t>#location_log</t>
  </si>
  <si>
    <t>Team availability updates, including shift start times, late arrivals, early departures, lunch breaks, remote work updates, and internet or power issues.</t>
  </si>
  <si>
    <t>#photos</t>
  </si>
  <si>
    <t>Team culture and engagement. Share team activities, office events, conferences, celebrations, travel photos, milestones, and fun moments.</t>
  </si>
  <si>
    <r>
      <rPr>
        <rFont val="Arial"/>
        <color rgb="FFFF0000"/>
        <sz val="12.0"/>
      </rPr>
      <t xml:space="preserve">[Optional: "First, I guess by now, you already realize that a professionally edited book benefits you in so many ways. Building your credibility as an author and encouraging positive reviews to help draw more sales are only some of it. Hence, editing is one of the indispensible tools for author success."] </t>
    </r>
    <r>
      <rPr>
        <rFont val="Arial"/>
        <color theme="1"/>
        <sz val="12.0"/>
      </rPr>
      <t xml:space="preserve">
"With this package, we will work with you in transforming your manuscript into it's best form. With the our Substantive Editing service, one of our highly qualified and experienced literary editors will do two full rounds of editing, focusing on both developing the big picture and fine-tuning the details (like catching pesky grammar and spelling mistakes). The two rounds of editor input are separated by a revision period for you to work with your editor’s suggestions." 
</t>
    </r>
    <r>
      <rPr>
        <rFont val="Arial"/>
        <b/>
        <color theme="1"/>
        <sz val="12.0"/>
      </rPr>
      <t>[EDITING CONSULTATION]</t>
    </r>
    <r>
      <rPr>
        <rFont val="Arial"/>
        <color theme="1"/>
        <sz val="12.0"/>
      </rPr>
      <t xml:space="preserve">
"On top of this, the package also includes an editorial consultation before the revision phase where you get to personally talk to your editor over the phone and discuss any questions and clarify any points if need be." 
</t>
    </r>
  </si>
  <si>
    <t>#printing-questions</t>
  </si>
  <si>
    <t>Printing-related inquiries, including printing questions, print service clarifications, advance book orders, and print quote requests. Review the Print Order Reminders tab and follow the required quote request template before posting.</t>
  </si>
  <si>
    <t>#production-questions</t>
  </si>
  <si>
    <t>Communication with the Production Team regarding production timelines, fulfillment questions, process clarifications, and service-related concerns.</t>
  </si>
  <si>
    <t>#payment_requests</t>
  </si>
  <si>
    <t>Requests involving alternative payment arrangements, non-standard payment methods, payment processing assistance, and payment-related questions requiring review.</t>
  </si>
  <si>
    <r>
      <rPr>
        <rFont val="Arial"/>
        <color rgb="FFFF0000"/>
        <sz val="12.0"/>
      </rPr>
      <t xml:space="preserve">[Optional: Second, readers actually judge books by their covers. Be it online or on bookstore shelves, a book's front cover plays an important role. And that is of a headturner. Something that would capture the eyes of readers and entice them to click or lift the book up and turn to the back cover to see if it's worth a read.  Hence, a designer who has an eye for what captures a reader's eye is best.] </t>
    </r>
    <r>
      <rPr>
        <rFont val="Arial"/>
        <color theme="1"/>
        <sz val="12.0"/>
      </rPr>
      <t xml:space="preserve">
With this package, we will take care of designing a cover and interior layout for your book. Your cover concept/vision combined with our design team's creative insight and knowledge will result to a book cover and interior layout that is modern, timely, genre-appropriate and most importantly, within the vision that you had. And of course, in any case you'd like to make revisions or inorporate some modifications, you are given twice the opportunity to do this as 2 design revision rounds each for the cover and the interior layout are included in this package. 
</t>
    </r>
    <r>
      <rPr>
        <rFont val="Arial"/>
        <b/>
        <color theme="1"/>
        <sz val="12.0"/>
      </rPr>
      <t>[PREMIUM COVER DESIGN SERVICE]</t>
    </r>
    <r>
      <rPr>
        <rFont val="Arial"/>
        <color theme="1"/>
        <sz val="12.0"/>
      </rPr>
      <t xml:space="preserve">
By the way, a design feature unique to this package is the premium cover design service. With this service, your cover designer will come up with 3 versions of your book's cover art. The good thing about this is that you get to explore other interpretations of cover conept and get to choose the one that represents the book best. You will also be assigned a design consultant whom you will have a chance to talk about matter pertaining to the cover design. 
</t>
    </r>
  </si>
  <si>
    <r>
      <rPr>
        <rFont val="Arial"/>
        <color rgb="FFFF0000"/>
        <sz val="12.0"/>
      </rPr>
      <t xml:space="preserve">[Optional: Third, common business knowledge tells us that getting your book widely available is best. Easy access is the key. You don't want to lose your readers interest just because they're having difficulty getting a copy of your book. Furthermore, in a lot of situations, people decide based on what they prefer. Especially on what to buy. That's why products are offered in different colors, sizes, flavors, etc. It's to address the risk brought by highly varying consumer preferences. And in terms of books, reader preference is commonly seen on book format. There are those that are die hard paperback fans. While others like the sturdyness of a hardback. Then there are the younger readers who are observed to lean more on digital formats like eBook and Audiobook. Solution? Offer your book in all appropriate formats. In that way, you have something to offer to all kinds of format prefence.] </t>
    </r>
    <r>
      <rPr>
        <rFont val="Arial"/>
        <color theme="1"/>
        <sz val="12.0"/>
      </rPr>
      <t xml:space="preserve">
With this package, we will be releasing a paperback</t>
    </r>
    <r>
      <rPr>
        <rFont val="Arial"/>
        <color rgb="FFFF0000"/>
        <sz val="12.0"/>
      </rPr>
      <t xml:space="preserve"> [and hardback] </t>
    </r>
    <r>
      <rPr>
        <rFont val="Arial"/>
        <color theme="1"/>
        <sz val="12.0"/>
      </rPr>
      <t>version</t>
    </r>
    <r>
      <rPr>
        <rFont val="Arial"/>
        <color rgb="FFFF0000"/>
        <sz val="12.0"/>
      </rPr>
      <t>[s]</t>
    </r>
    <r>
      <rPr>
        <rFont val="Arial"/>
        <color theme="1"/>
        <sz val="12.0"/>
      </rPr>
      <t xml:space="preserve"> of your book. These will be the book's printed formats and will be made availble for sale in up to 45,000 online retailers across the globe including Chapters.ca, Amazon, Barnes and Noble in the US, Booktopia in AU, Waterstones in the UK, and other global and country-specific online book retailers. Furthermore, these formats will be distributed via print-on-demand meaning printing costs and logistics are no longer things you would be thinking about because all book orders will be handled by the online retailer. Meaning, whenever someone orders a copy of your book, the online retailer will be the one fulfill the order including shipping the book to the one who ordered it. And that applies for each order made, be it 1 or 1000 or the day after release or 5 years after release. For as long as you keep your book enlisted in their facility and people continue to order, retailers will fulfill every single one of them. That is the beauty of print on demand. If you think about it, you're book will never run out of print and will be available for sale online for a lifetime. Unlimited print plus years of availability, how can you not recoup your investment? Right? 
Moving on, this package will also release a digital eBook format of your book. The eBook format will be made available for sale in Amazon Kindle, Barnes and Noble Nook, Chapters Kobo, Apple iBooks, Smashwords and other major eBook retailers. While Audiobook is NOT included in this package, and I repeat NOT INCLUDED in this package, you can always purchase that service as an add-on. Audiobooks have taken up a lot of preference in the recent years overtaking eBook in terms of annual growth rate but still inferior to paperback which is still the most in-demand format of books. 
Okay. A little bit more about distribution. Now, you should know, a lot of decisions are made within this phase so it's important that authors understand the basics, to say the least, for now. Okay. So part of the distribution features of this package as well is securing your book's ISBN or International Standard Book Number. I refer to it as the book's unique identification/tracking number. We search this number in databases whenever we want more information about the book, or to find out inventory status or when done online, locate the book's enlistment page. And just so you know, the ISBN of your paperback book differs from that of the hardback and eBook. 
</t>
    </r>
  </si>
  <si>
    <r>
      <rPr>
        <rFont val="Arial"/>
        <color rgb="FFFF0000"/>
        <sz val="12.0"/>
      </rPr>
      <t xml:space="preserve">[Optional: Lastly, another common business knowledge tells us that a product, or your book, won't sell on it's own. By that I mean, the process does not stop at the time you see your book enlisted for sale online. In fact, some of our clients refer to distribution as the starting point of what they describe as the exciting, thrilling, sometimes daunting yet fulfilling role of a self-published author. Yes, at this point of the process, you should not miss every single opportunity to tell the world that you are a self-published author and that your book is now available online. In social media, in the office, in family gatherings, everywhere, anywhere, at anytime! Spreading the word about your book, generating awareness of it's availability online and making it visible to more and more people is an ongoing role you have! This is your book. It's your name on the cover. Your creating a brand and making that brand known is what you need to focus on moving forward! Focus on marketing or promoting your book! Simple marketing efforts like what I just mentioned or sophiscated marketing with the help of experts in the field.] </t>
    </r>
    <r>
      <rPr>
        <rFont val="Arial"/>
        <color theme="1"/>
        <sz val="12.0"/>
      </rPr>
      <t xml:space="preserve">
With this package, we will walk you through the basics of book marketing and at the same time stay proactive in conducting marketing activities which aim to generate awareness and increase your books visibility. You will have your very own marketing consultant who will start off with a consultation with you, usually lasting for an hour. Subsequently, a marketing plan outlining the strategies for promoting your book shall then be created and presented to you. You usually have an option to execute the plan independently or with the help of our marketing team. Your marketing consultant will guide you on this aspect and make sure that you proceed with the option that  works for you best.
</t>
    </r>
    <r>
      <rPr>
        <rFont val="Arial"/>
        <b/>
        <color theme="1"/>
        <sz val="12.0"/>
      </rPr>
      <t>[BOOK BACKGROUNDER]</t>
    </r>
    <r>
      <rPr>
        <rFont val="Arial"/>
        <color theme="1"/>
        <sz val="12.0"/>
      </rPr>
      <t xml:space="preserve">
In addition to the consult, the marketing consultant will also be designing a book backgrounder. It's a 2-page document which is similar to a brochure or a flyer. It contains information about the book and sometimes, the author. The first page is usually a showcase of the cover and the summarry and some purchasing info while the second page would often contain a Q&amp;A section with the author and some other information relevant to the book. Printing a few copies to give out during book signing events or leaving them along with sample copies for bookstores are some of the ways our authors use this tool. 
</t>
    </r>
    <r>
      <rPr>
        <rFont val="Arial"/>
        <b/>
        <color theme="1"/>
        <sz val="12.0"/>
      </rPr>
      <t>[AUTHOR WEBSITE BASIC]</t>
    </r>
    <r>
      <rPr>
        <rFont val="Arial"/>
        <color theme="1"/>
        <sz val="12.0"/>
      </rPr>
      <t xml:space="preserve">
The marketing consultant will also create and design your very own author website. In this digital age, having online presence is almost a requirement, even for authors. A website serves as an online platform personal to you and your book. It's a good place for your readers to leave messages, reviews, request signed copies, share content that usually could not be contained in a post in social media or in amazon. Some of our authors also post pictures and other media like videos and interviews about the book. In short, it serves as your own personal space in the worldwideweb. Some of our authors here were able to create an online community through their website. Some also found it as a very helpful tool for building emailing list or a subscribers list. 
</t>
    </r>
    <r>
      <rPr>
        <rFont val="Arial"/>
        <b/>
        <color theme="1"/>
        <sz val="12.0"/>
      </rPr>
      <t>[CLASSIC MARKETING PACKAGE]</t>
    </r>
    <r>
      <rPr>
        <rFont val="Arial"/>
        <color theme="1"/>
        <sz val="12.0"/>
      </rPr>
      <t xml:space="preserve">
Now, the best marketing support this package offers is the various marketing activities geared towards traditional and social media. This includes but not limited to sending out a press release to 3,000 news outlets, securing a guaranteed interview, an outreach to a number of bookstores/organizations, getting an editorial review for your book, amazon and facebook advertising, and designing promotional materials which you can print and give out as necessary. 
</t>
    </r>
  </si>
  <si>
    <t>WRAP-UP, ONE-CALL CLOSE AND TEST CLOSE</t>
  </si>
  <si>
    <r>
      <rPr>
        <rFont val="Arial"/>
        <color theme="1"/>
        <sz val="12.0"/>
      </rPr>
      <t xml:space="preserve">"Alrighty. I hope you're still with me, </t>
    </r>
    <r>
      <rPr>
        <rFont val="Arial"/>
        <b/>
        <color rgb="FFFF0000"/>
        <sz val="12.0"/>
      </rPr>
      <t>(name of author)</t>
    </r>
    <r>
      <rPr>
        <rFont val="Arial"/>
        <color theme="1"/>
        <sz val="12.0"/>
      </rPr>
      <t xml:space="preserve">. Great! Do you have any questions so far? Maybe there were some points that werent very clear to you. </t>
    </r>
    <r>
      <rPr>
        <rFont val="Arial"/>
        <color rgb="FFFF0000"/>
        <sz val="12.0"/>
      </rPr>
      <t>(Wait for author to respond. If there's a question, answer accordingly. If none, proceed to the spiel below)</t>
    </r>
    <r>
      <rPr>
        <rFont val="Arial"/>
        <color theme="1"/>
        <sz val="12.0"/>
      </rPr>
      <t xml:space="preserve">
Okay! So I'm glad we were able to cover all of that! As I have mentioned, the main reason why I am recommending this package is because I am confident that this will benefit you and your project especially in areas where you need most help with.
And oh, I almost forgot. You will be assigned your very own Project Manager. Such person is tasked to fulfill the services included in the package you will purchase and to take the lead in going through the entire production flow. Hence, you really won't have to ask yourself what to do next or whether what you're doing is right or wrong because your Project Manager is there to assure that the project is moving along and that nothing is missed out as we do so. To add, we have designed an online portal where all of our book production processes take place. This user-friendly portal is called Octavo. You will have your own account and access will provided thereto after you have secured the package. So Octavo is a secured platform and is the main venue of all the work being done to your book. So project updates, tasks we need your help with and other information about your project are all found in Octavo. Sounds good? I would not worry if you consider yourself not too techy as Octavo is also email based. So for as long as you know how to use your email and follow simple steps, you should be good to go!
Alrighty! Does everything sound good so far? That's great! So, by the way, the total cost of this offer is ________________. </t>
    </r>
    <r>
      <rPr>
        <rFont val="Arial"/>
        <b/>
        <color rgb="FFFF0000"/>
        <sz val="12.0"/>
      </rPr>
      <t xml:space="preserve">(pause. wait for author to respond. even if it requires a few seconds. even if you have to wait for a minute. It is important that the author reacts to the price. that reaction would tell you if author can afford or not)
</t>
    </r>
    <r>
      <rPr>
        <rFont val="Arial"/>
        <color theme="1"/>
        <sz val="12.0"/>
      </rPr>
      <t xml:space="preserve">
Okay. Now, let me mention that we offer payment plans. A number of our authors choose to pay in full to save on the payment plan fee but you are free to opt for a payment plan as much as 6 months. </t>
    </r>
    <r>
      <rPr>
        <rFont val="Arial"/>
        <color rgb="FFFF0000"/>
        <sz val="12.0"/>
      </rPr>
      <t>(closing must mentions. both of them if payment plan. otherwise, 2nd spiel only)</t>
    </r>
    <r>
      <rPr>
        <rFont val="Arial"/>
        <color theme="1"/>
        <sz val="12.0"/>
      </rPr>
      <t xml:space="preserve">
Alrghty. So, do you have further questions? If none, shall we go ahead with this, then? Will you be using a Visa or a MasterCard? </t>
    </r>
    <r>
      <rPr>
        <rFont val="Arial"/>
        <color rgb="FFFF0000"/>
        <sz val="12.0"/>
      </rPr>
      <t>(1st test close)</t>
    </r>
    <r>
      <rPr>
        <rFont val="Arial"/>
        <color theme="1"/>
        <sz val="12.0"/>
      </rPr>
      <t xml:space="preserve">
</t>
    </r>
    <r>
      <rPr>
        <rFont val="Arial"/>
        <color rgb="FFFF0000"/>
        <sz val="12.0"/>
      </rPr>
      <t>[When doing a one-call close, I advise you do a 2nd test close by gathering the card details before creating the invoice. To make sure that author is fully on board to make a payment. Write card details on sticky notes BUT NEVER SAVE. Delete immediately after processing payment]</t>
    </r>
    <r>
      <rPr>
        <rFont val="Arial"/>
        <color theme="1"/>
        <sz val="12.0"/>
      </rPr>
      <t xml:space="preserve"> Okay. I'm ready for your card number whenever you are.</t>
    </r>
    <r>
      <rPr>
        <rFont val="Arial"/>
        <color rgb="FFFF0000"/>
        <sz val="12.0"/>
      </rPr>
      <t xml:space="preserve"> [Do not repeat]</t>
    </r>
    <r>
      <rPr>
        <rFont val="Arial"/>
        <color theme="1"/>
        <sz val="12.0"/>
      </rPr>
      <t>. Thank you, I would also need the expiration date.</t>
    </r>
    <r>
      <rPr>
        <rFont val="Arial"/>
        <color rgb="FFFF0000"/>
        <sz val="12.0"/>
      </rPr>
      <t xml:space="preserve"> [do not repeat]</t>
    </r>
    <r>
      <rPr>
        <rFont val="Arial"/>
        <color theme="1"/>
        <sz val="12.0"/>
      </rPr>
      <t>. And finally, the 3 digit code at the back of the card</t>
    </r>
    <r>
      <rPr>
        <rFont val="Arial"/>
        <color rgb="FFFF0000"/>
        <sz val="12.0"/>
      </rPr>
      <t xml:space="preserve">.[do not repeat] </t>
    </r>
    <r>
      <rPr>
        <rFont val="Arial"/>
        <color theme="1"/>
        <sz val="12.0"/>
      </rPr>
      <t xml:space="preserve">Alrighty, thank you for these information. Now, can I place you on hold for 1-2 minutes as I go ahead and process the payment? </t>
    </r>
    <r>
      <rPr>
        <rFont val="Arial"/>
        <color rgb="FFFF0000"/>
        <sz val="12.0"/>
      </rPr>
      <t xml:space="preserve">[hold. create invoice in Octavo. process payment. get back to author] </t>
    </r>
    <r>
      <rPr>
        <rFont val="Arial"/>
        <color theme="1"/>
        <sz val="12.0"/>
      </rPr>
      <t xml:space="preserve">Hi, </t>
    </r>
    <r>
      <rPr>
        <rFont val="Arial"/>
        <b/>
        <color rgb="FFFF0000"/>
        <sz val="12.0"/>
      </rPr>
      <t>(name of author. project an excited and happy tone)</t>
    </r>
    <r>
      <rPr>
        <rFont val="Arial"/>
        <color theme="1"/>
        <sz val="12.0"/>
      </rPr>
      <t xml:space="preserve">, so the payment has been processed successfully! Congratulations! Welcome to Tellwell!! </t>
    </r>
    <r>
      <rPr>
        <rFont val="Arial"/>
        <color rgb="FFFF0000"/>
        <sz val="12.0"/>
      </rPr>
      <t xml:space="preserve">(be as enthusiastic as you can be) [reiterate 2nd closing must mention]
</t>
    </r>
    <r>
      <rPr>
        <rFont val="Arial"/>
        <color theme="1"/>
        <sz val="12.0"/>
      </rPr>
      <t xml:space="preserve">
</t>
    </r>
    <r>
      <rPr>
        <rFont val="Arial"/>
        <color rgb="FFFF0000"/>
        <sz val="12.0"/>
      </rPr>
      <t>[When author is not ready to pay, says he will think about it. proceed with spiel below]</t>
    </r>
    <r>
      <rPr>
        <rFont val="Arial"/>
        <color theme="1"/>
        <sz val="12.0"/>
      </rPr>
      <t xml:space="preserve">
Oh. Okay. No worries. The only reason I asked is because I was under the impression we were all set to take the next step. Out of curiosity, may I ask what's holding you back?
</t>
    </r>
    <r>
      <rPr>
        <rFont val="Arial"/>
        <b/>
        <color rgb="FFFF0000"/>
        <sz val="12.0"/>
      </rPr>
      <t>[Choose the rebuttal appropriate to the objection. Please proceed with caution. Be sensitive with how your author talks. Do not rebut if there is clear showing that author is ALREADY SOLD and it's just a matter of deciding when to pay]</t>
    </r>
    <r>
      <rPr>
        <rFont val="Arial"/>
        <color theme="1"/>
        <sz val="12.0"/>
      </rPr>
      <t xml:space="preserve">
Okay. Now, </t>
    </r>
    <r>
      <rPr>
        <rFont val="Arial"/>
        <color rgb="FFFF0000"/>
        <sz val="12.0"/>
      </rPr>
      <t>[ADJOURNMENT CLOSE SPIEL]</t>
    </r>
    <r>
      <rPr>
        <rFont val="Arial"/>
        <color theme="1"/>
        <sz val="12.0"/>
      </rPr>
      <t xml:space="preserve">
</t>
    </r>
  </si>
  <si>
    <t>CLOSING MUST MENTIONS</t>
  </si>
  <si>
    <t>"So since you are doing a ___-month payment plan, I'd like to reiterate that work will begin immediately after we process your first payment. Work will continue to progress for as long you are able to make the monthly payments. In case a payment is missed, the account will be placed on hold and your project manager will only continue working on the project after all due payments have been settled. In the event that your book is done before your payment plan is completed, you have an option to settle the remaining balance in advance so that the book can be released out to distribution immediately."</t>
  </si>
  <si>
    <t>"So once payment clears through, you will automatically receive the receipt in your inbox. After a few minutes, our support team will send you an email containing your Octavo username and password. If you can't find this in your inbox, it's best to check your spam or junk folder as it is sometimes routed there.You would need to log-in, change your password and agree to terms. Once these steps are done, you will receive another email asking you to complete your book profile. You would need to fill in your book title, pen name, book size, etc. Make sure you click the complete task button after completing your book profile so that your assigned Project Manager could proceed to the next step which is arranging the schedule and details of your orientation call. If you have any questions or clarifications before your scheduled orientation call, don't hesitate to reach out to me."</t>
  </si>
  <si>
    <t>TYPES OF CLOSING</t>
  </si>
  <si>
    <t>TYPE</t>
  </si>
  <si>
    <t>APPLICABLE WHEN...</t>
  </si>
  <si>
    <t>SAMPLE SPIEL...</t>
  </si>
  <si>
    <t>ADJOURNMENT CLOSE</t>
  </si>
  <si>
    <t xml:space="preserve">You can see that they are not going to decide now. You have set up enough tension that you are reasonably convinced that they will indeed seriously consider the deal and are likely to come back. Given some more time, it is likely that they will buy more (for example if they are at the edge of a budgetary period and their current funds are low). The relationship is important to you, and those making a wrong decision now would affect the chances of making sales in the future. </t>
  </si>
  <si>
    <t>"I can tell how this is one of the most important decisions of your life and I think you need time to consider how important it is. Here's what I'll do, I'll send the estimate and a few resources via email. I can see you're thinking very carefully about this which so I want to make sure you have the resources you need to arrive at an informed decision. If you have follow-up questions or concerns, feel free to note them down in an email and have it sent to me. I will call you back next week to see how you are progressing with your decision. And oh, I'll also include my calendar link in case you'd like to talk earlier than next week. Feel free to book an appointment."</t>
  </si>
  <si>
    <t>MANAGER CLOSE</t>
  </si>
  <si>
    <t xml:space="preserve">You can see that you have earned their trust and that they are willing to proceed with payment only if they finances at the moment would allow. Before using this, make sure you have confirmed from the author the exact amount they are able and willing to pay immediately. </t>
  </si>
  <si>
    <r>
      <rPr>
        <rFont val="Arial"/>
        <i/>
        <color theme="1"/>
        <sz val="12.0"/>
      </rPr>
      <t>"You know what, I can see how committed you are in getting this started so let me help you out here. I think I might be able to pull some strings, I won't guarantee though, what I'm saying is I might be able to convince my manager for a discount. I say so because just yesterday, he approved my request for a discount to an author who was ready to pay a fixed amount which was lesser than the original offer. If he approves this, the total cost would be brought down to _______ and the total amount you'll be paying today is ________. Would that work? If you say yes, I'll make my manager a cup of coffee and trade it for a discount. What do you say?"</t>
    </r>
    <r>
      <rPr>
        <rFont val="Arial"/>
        <i/>
        <color rgb="FFFF0000"/>
        <sz val="12.0"/>
      </rPr>
      <t xml:space="preserve"> [If amount still does not work. You ask the author how much he is able and willing to pay immediately.] </t>
    </r>
    <r>
      <rPr>
        <rFont val="Arial"/>
        <i/>
        <color theme="1"/>
        <sz val="12.0"/>
      </rPr>
      <t>"Okay. Hmmmmm. That might require a donut to pair the coffee with. Hahaha. Kidding aside. I will try. But I won't promise. I'm not too confident but there's no harm in trying. I will do my best. Can you give me around 30 min to an hour? I will call you back once I have his decision. Okay. Let's cross our fingers for this one."</t>
    </r>
  </si>
  <si>
    <t>ALTERNATIVE CLOSE</t>
  </si>
  <si>
    <t xml:space="preserve">The alternative close works by offering more than one clearly defined alternative to the author. Note that this technique works well in many different situations where you are seeking agreement, and not just selling products. The Alternative Close is a variant on the broader-based Assumptive Close and works primarily through the assumption principle, where you act as if the author has already decided to buy, and the only question left is which of a limited number of options they should choose. 
</t>
  </si>
  <si>
    <t xml:space="preserve">"You mentioned you were looking at the Professional Package but sounds  like the All-Inclusive Package is more appropriate for your project's need, don''t you think so?" 
"Since your manuscript will be ready in about a month, maybe we could work on the cover design for the meantime while waiting for you to complete your manuscript."
</t>
  </si>
  <si>
    <t>ASSUMPTIVE CLOSE</t>
  </si>
  <si>
    <t xml:space="preserve">Act as if the author has made the decision already. 
Turn the focus of the conversation towards the next level of questions, such as which package they want, when they want it active, what ad size they desire, and so on.       </t>
  </si>
  <si>
    <t>"Alrighty, (name of author), if you have no further questions, how would you like to process this? Will it be through a 6-month payment plan or will you be paying this in full?"
"Alrighty, (name of author), if you have no further questions, how would you like to do this? Will it be a Visa or a Mastercard?"</t>
  </si>
  <si>
    <t>BALANCE SHEET CLOSE</t>
  </si>
  <si>
    <t xml:space="preserve">List both the benefits of the purchase (the pros) and also the costs (the cons). Of course, the pros (the reasons to buy) will win. Make sure the 'pros' column is longer and more impressive, of course. Cons include things they wanted but are not getting. Start with the cons and keep them short. But do make it sound credible, as if you are giving them fair consideration. Then cover the pros. Perhaps sound pleasantly surprised as you describe them. Sound reasonable, as if you are on their side. Sound almost as if you are talking to yourself. 
</t>
  </si>
  <si>
    <t>"Publishing a book is a once in a lifetime opportunity. So if you were to do it, might as well do it the right way. With our Traditional Package, you get all out support from a Project Manager, an Editor, a Design Team, and most importantly support from our marketing team. As our VIP package, it is kind of on the higher price range but it gives you the highest value for the price you are paying."</t>
  </si>
  <si>
    <t>BEST TIME CLOSE</t>
  </si>
  <si>
    <t xml:space="preserve">When authors employ the “Terminator” method (“I’ll be back”), emphasize how now is the best time to buy. Invoke seasonal effects, such a summer, Easter, Back-to-School, Christmas and other holidays. Find out other personal reasons why it is good to buy now, such as their parent's, spouse birthday, anniversary, etc. You can even do a reversal on 'never the best time to buy' by showing how this makes now as good a time as any. </t>
  </si>
  <si>
    <t>"Our average turn-around-time is 4-6 months. So if you'd like to get your book done by Christmas, now is definitely the best time to get started."
"Children's book month is coming (April). It would be nice if you could join the celebration by releasing your first children's book. Our average turn around time is 4-6 months so it would be best to get started ASAP."</t>
  </si>
  <si>
    <t>CALCULATOR CLOSE</t>
  </si>
  <si>
    <t>The “Calculator Close” is a great method to use when employing discounts . Rather than just quoting a price, let them “hear” you bash the buttons of a calculator. Mutter things like 'less discount' and 'I'll take another 5% off, just for you'. Working out the price also gives finality to the action. To ask for a further reduction would mean you would have to recalculate and so oblige the person further. This close is particularly effective when selling high-end packages or services or when multiple add-on’s/services are being sold at once.</t>
  </si>
  <si>
    <t>"Alrighty, so going back to the Traditional Package, the total cost is $ 11,999. Applying the promo of the month, we can actually take out 10% of that as cash discount. So your updated total would now be $ 10,799.10. That's a total savings of $ 1,199.10"</t>
  </si>
  <si>
    <t>WELCOME SPIEL</t>
  </si>
  <si>
    <r>
      <rPr>
        <rFont val="Arial"/>
        <color theme="1"/>
        <sz val="12.0"/>
      </rPr>
      <t xml:space="preserve">"Hi, </t>
    </r>
    <r>
      <rPr>
        <rFont val="Arial"/>
        <b/>
        <color theme="1"/>
        <sz val="12.0"/>
      </rPr>
      <t>(name of author)</t>
    </r>
    <r>
      <rPr>
        <rFont val="Arial"/>
        <color theme="1"/>
        <sz val="12.0"/>
      </rPr>
      <t>, thank you for waiting on the lline. So I processed the payment and it went through. Congratulations and welcome to Tellwell! (SMILE WHILE SAYING THIS. The author will hear it)</t>
    </r>
    <r>
      <rPr>
        <rFont val="Arial"/>
        <color rgb="FFFF0000"/>
        <sz val="12.0"/>
      </rPr>
      <t xml:space="preserve"> [wait for author to respond]. </t>
    </r>
    <r>
      <rPr>
        <rFont val="Arial"/>
        <color theme="1"/>
        <sz val="12.0"/>
      </rPr>
      <t xml:space="preserve">So you should have received the proof of transaction in your inbox by now. That's sent automatically. And within a few minutes, you will receive a welcome email from our support team containing your log-in credentials to Octavo. And as I have said, you just need to log-in, change your password and complete your book profile. Once these are done, your Project Manager will be in touch! Once again, thank you for the trust, </t>
    </r>
    <r>
      <rPr>
        <rFont val="Arial"/>
        <b/>
        <color theme="1"/>
        <sz val="12.0"/>
      </rPr>
      <t>(name of auhto</t>
    </r>
    <r>
      <rPr>
        <rFont val="Arial"/>
        <color theme="1"/>
        <sz val="12.0"/>
      </rPr>
      <t xml:space="preserve">r), and rest assured that this is only the beginning. We will be with you from hereon until we bring your book to distribution!" </t>
    </r>
  </si>
  <si>
    <t>GOOD MORNING!🌞🌞🌞</t>
  </si>
  <si>
    <t>LEGEND:</t>
  </si>
  <si>
    <r>
      <rPr>
        <rFont val="Arial"/>
        <b/>
        <color rgb="FFFF0000"/>
      </rPr>
      <t>EXCLUSIVE</t>
    </r>
    <r>
      <rPr>
        <rFont val="Arial"/>
        <color rgb="FFFF0000"/>
      </rPr>
      <t xml:space="preserve">- PCs are the only ones that can sell the service. 
</t>
    </r>
    <r>
      <rPr>
        <rFont val="Arial"/>
        <b/>
        <color rgb="FFFF0000"/>
      </rPr>
      <t>CONCURRENT</t>
    </r>
    <r>
      <rPr>
        <rFont val="Arial"/>
        <color rgb="FFFF0000"/>
      </rPr>
      <t xml:space="preserve">- PMs and MCs can also sell the service.
</t>
    </r>
    <r>
      <rPr>
        <rFont val="Arial"/>
        <b/>
        <color rgb="FFFF0000"/>
      </rPr>
      <t>N/A</t>
    </r>
    <r>
      <rPr>
        <rFont val="Arial"/>
        <color rgb="FFFF0000"/>
      </rPr>
      <t xml:space="preserve">- PC cannot sell.
</t>
    </r>
    <r>
      <rPr>
        <rFont val="Arial"/>
        <b/>
        <color rgb="FFFF0000"/>
      </rPr>
      <t>PRIOR TO OC</t>
    </r>
    <r>
      <rPr>
        <rFont val="Arial"/>
        <color rgb="FFFF0000"/>
      </rPr>
      <t xml:space="preserve">- PC could no longer sell service after the assigned PM's orientation call. 
</t>
    </r>
    <r>
      <rPr>
        <rFont val="Arial"/>
        <b/>
        <color rgb="FFFF0000"/>
      </rPr>
      <t>PRIOR TO MC</t>
    </r>
    <r>
      <rPr>
        <rFont val="Arial"/>
        <color rgb="FFFF0000"/>
      </rPr>
      <t xml:space="preserve">- PC could no longer sell service after the assigned Marketing Consultant's consultation call. </t>
    </r>
  </si>
  <si>
    <r>
      <rPr>
        <rFont val="Arial"/>
        <b/>
        <color rgb="FF000000"/>
      </rPr>
      <t xml:space="preserve">START YOUR DAY WITH A SMILE! </t>
    </r>
    <r>
      <rPr>
        <rFont val="Arial"/>
        <b val="0"/>
        <color rgb="FF000000"/>
      </rPr>
      <t>Then look out to your window and appreciate another wonderful day!</t>
    </r>
  </si>
  <si>
    <t>ORDER OF CALL PRIORITY</t>
  </si>
  <si>
    <t>Feel free to use filters-------------------------------↓</t>
  </si>
  <si>
    <t>Breakfast or a cup of coffee before anything else! ☕</t>
  </si>
  <si>
    <t>CAD/USD/AUD</t>
  </si>
  <si>
    <t>CAN SELL W/O PUB PACKAGE?</t>
  </si>
  <si>
    <t>AUTHORITY</t>
  </si>
  <si>
    <t>POINT OF SALE</t>
  </si>
  <si>
    <t>INCOMING CALLS</t>
  </si>
  <si>
    <t>N/A</t>
  </si>
  <si>
    <t>EXCLUSIVE</t>
  </si>
  <si>
    <t>ANYTIME</t>
  </si>
  <si>
    <t>CALENDLY APPOINTMENTS</t>
  </si>
  <si>
    <t>Organizing your work day is definitely all up to you! In case you're not yet sure how exacty you would want your day to go, following along the map below just might work!🗺️</t>
  </si>
  <si>
    <t>UNCONTACTED w/ COMPLETE or 1MONTH MS</t>
  </si>
  <si>
    <t>YES</t>
  </si>
  <si>
    <t>CONCURRENT</t>
  </si>
  <si>
    <t>PRIOR TO MC</t>
  </si>
  <si>
    <t xml:space="preserve">See invoicing guidelines if sold as a stand-alone. </t>
  </si>
  <si>
    <t>ATTEMPTED w/ COMPLETE or 1MONTH MS</t>
  </si>
  <si>
    <t>PRIOR TO OC</t>
  </si>
  <si>
    <t xml:space="preserve">See invoicing guidelines when sold as stand-alone. </t>
  </si>
  <si>
    <t>DAILY PRODUCTIVITY GUIDE</t>
  </si>
  <si>
    <t>NO</t>
  </si>
  <si>
    <t xml:space="preserve">Leave a note in Octavo immediately after introducing the service to author. Always log this for this contains the fulfilment workflow. </t>
  </si>
  <si>
    <t xml:space="preserve">When sold as a stand-alone service, must be invoiced together with eBook formatting. </t>
  </si>
  <si>
    <t>READ AND RESPOND TO UNREPLIED EMAILS AND SLACK/TEAMS MESSAGES FROM THE PREVIOUS DAY.</t>
  </si>
  <si>
    <t>IDENTIFY YOUR TOP 20 WARMEST LEADS OF THE DAY.</t>
  </si>
  <si>
    <t>PROCEED WITH YOUR CALL ATTEMPTS. ONE LEAD AFTER THE OTHER.</t>
  </si>
  <si>
    <t>ALLOCATE THE LAST 1-2 HOURS OF YOUR DAY FOR SENDING EMAILS AND/OR OTHER ADMIN TASKS.</t>
  </si>
  <si>
    <t>Edit - Children's Book Substantive Edit</t>
  </si>
  <si>
    <t xml:space="preserve">Maximum word count is 12,500. If beyond that, use Edit - Substantive additional words for the extra words. </t>
  </si>
  <si>
    <t xml:space="preserve">Do not use if word count is more than 12,500. Use Edit- Substantive Edit line item instead. </t>
  </si>
  <si>
    <t>eBook Formatting</t>
  </si>
  <si>
    <t>CALL FLOWS/ WORKFLOWS</t>
  </si>
  <si>
    <t>49th Shelf</t>
  </si>
  <si>
    <t xml:space="preserve">Do not use if word count is more than 12,500. Use Edit- Copy Edit line item instead. </t>
  </si>
  <si>
    <t>Revision round</t>
  </si>
  <si>
    <t>Extra Design Time</t>
  </si>
  <si>
    <t>ROUTED TO VOICEMAIL CALL FLOW</t>
  </si>
  <si>
    <t xml:space="preserve">When sold as a stand-alone service, must be paired with either Editorial Evaluation, Copyediting or Substantive Editing. </t>
  </si>
  <si>
    <t>Author Website (Renewal)</t>
  </si>
  <si>
    <t>LEGEND</t>
  </si>
  <si>
    <t>See invoicing guidelines when sold as stand-alone. Never forget to send PC Print Quote Form</t>
  </si>
  <si>
    <t>Managed Distribution Fee</t>
  </si>
  <si>
    <t>NEXT STEP OF THE PROCESS; PROCEED THIS WAY ALWAYS</t>
  </si>
  <si>
    <t>SUCCESSFUL ATTEMPT; PROCEED THIS WAY IF AUTHOR ANSWERED THE CALL</t>
  </si>
  <si>
    <t>UNSUCCESSFUL ATTEMPT; PROCEED THIS WAY IF AUTHOR DID NOT ANSWER</t>
  </si>
  <si>
    <t xml:space="preserve">- - - - - - - - - - - - </t>
  </si>
  <si>
    <t>RELATED INDICATOR</t>
  </si>
  <si>
    <t>CALLBACK REQUEST CALL FLOW</t>
  </si>
  <si>
    <t xml:space="preserve">Leave a note in Octavo immediately after introducing the service to author. </t>
  </si>
  <si>
    <t>INVALID#/NIS/ADC/RING OUT/HUNG UP ON INTRO &amp; BOUNCE EMAIL CALL FLOW</t>
  </si>
  <si>
    <t xml:space="preserve">Cannot be sold without a Copy Edit or Substantive Edit paired with a publishing package. </t>
  </si>
  <si>
    <t xml:space="preserve">This is simply a copyedit. Use this when author needs/wants another round of editing on top of substantive edit. </t>
  </si>
  <si>
    <t>Print Only Package</t>
  </si>
  <si>
    <t>WRONG NUMBER, AUTHOR NOT AVAILABLE, CHILD AUTHOR CALL FLOW</t>
  </si>
  <si>
    <t>ALREADY PUBLISHED AUTHOR CALL FLOW</t>
  </si>
  <si>
    <t xml:space="preserve">Cannot be sold without a Copy Edit or Substantive Edit paired with a publishing package. Max words is 18,000. If beyond that, use Edit - Post-Layout Proofread instead. </t>
  </si>
  <si>
    <r>
      <rPr>
        <rFont val="Arial"/>
        <b/>
        <color theme="1"/>
      </rPr>
      <t xml:space="preserve">WHAT IT IS: </t>
    </r>
    <r>
      <rPr>
        <rFont val="Arial"/>
        <color theme="1"/>
      </rPr>
      <t xml:space="preserve">A series of 1-on-1 consultations and/or follow-up calls from a Project Manager at key stages in the publishing process.
</t>
    </r>
    <r>
      <rPr>
        <rFont val="Arial"/>
        <b/>
        <color theme="1"/>
      </rPr>
      <t>WHO IT IS FOR:</t>
    </r>
    <r>
      <rPr>
        <rFont val="Arial"/>
        <color theme="1"/>
      </rPr>
      <t xml:space="preserve"> Not everyone! Please work with the author to determine which path they are suited for:
• Existing Project Management service: for authors who prefer email communication and/or to be self-guided in Octavo with its comprehensive help resources, knowing they have the ability to book calls with Project Manager whenever needed. (“If you prefer written communications and information, our usual project management service will be just great for you.”).
• Project Coaching: everything included in the project management service, except PMs will be prompted to make outbound calls to the author at key stages (the number of stages depends on the services in the package).
   ◘ The quality of the resources, support and guidance will be the same between the two PM paths: project coaching is just more hands-on and guided, providing an extra push here and there when needed; our original service is more automated and self-serve style with a ton of built-in resources like Guide articles and webinars.
   ◘ Given that 60% of the authors we work with rate us 9 or 10/10, and 57% of authors rank their PM 5/5, it's clear this service is not going to be necessary for everyone.  Just the ones that need to feel some extra encouragement or really struggle with Octavo,
</t>
    </r>
    <r>
      <rPr>
        <rFont val="Arial"/>
        <b/>
        <color theme="1"/>
      </rPr>
      <t>HOW DOES IT WORK</t>
    </r>
    <r>
      <rPr>
        <rFont val="Arial"/>
        <color theme="1"/>
      </rPr>
      <t xml:space="preserve">
• PMs will be prompted to make outbound calls to the author at key stages (the number of stages depends on the services in the package), and if the PM misses the author, they will invite the author to book in via a follow-up email.
• The call will be made shortly after the email is sent containing the relevant questionnaire/instructions; the author should engage with the resources (e.g. review the manuscript submission guidelines) before the call in order to have the most productive and valuable discussion.
</t>
    </r>
    <r>
      <rPr>
        <rFont val="Arial"/>
        <b/>
        <color theme="1"/>
      </rPr>
      <t>WHO DID WE CREATE THIS SERVICE FOR:</t>
    </r>
    <r>
      <rPr>
        <rFont val="Arial"/>
        <color theme="1"/>
      </rPr>
      <t xml:space="preserve">
• It ensures extra support from and access to project managers in more of a coaching capacity, providing more hands-on guidance and encouragement through the publishing process to those who need it. It results in a high-end customer service experience, leaving less self-sufficient authors feeling validated, empowered and supported. It will help with the current divide between their experience with the PC v. their experience with the PM, making for a smooth and seamless handover from sales to production, offering the same level of contact and relationship-building.
• This service has been developed in direct response to much of the feedback we receive about our communications during production, as well as a recognition that no matter how welcoming and user-friendly we make our processes, there are a number of our core customers who need extra guidance and/or validation.
• Provides a more “premium” service in the case of traditional packages
• Empowers both authors and the project management team
• Introduces more accountability with the potential to keep authors on track and moving through the process</t>
    </r>
  </si>
  <si>
    <t>INCOMING CALL QUEUE COURTESY WORKFLOW</t>
  </si>
  <si>
    <t>PUBLISHING CONSULTATION - QUALIFIED WORKFLOW</t>
  </si>
  <si>
    <t>PUBLISHING CONSULTATION - NOT QUALIFIED WORKFLOW</t>
  </si>
  <si>
    <t>A QUICK GUIDE TO PROPER LEAD TAGGING</t>
  </si>
  <si>
    <t>A QUICK QUIDE TO PROPER OPPORTUNITY STAGE TAGGING</t>
  </si>
  <si>
    <t>148826000023754145</t>
  </si>
  <si>
    <t>Update lead status to...</t>
  </si>
  <si>
    <t>When...</t>
  </si>
  <si>
    <t>ATTEMPTED 1-7</t>
  </si>
  <si>
    <t xml:space="preserve">You made your first to seventh attempt to contact lead via phone call, sent your own email, sent a text and no response from lead. </t>
  </si>
  <si>
    <t>COMMUNICATING</t>
  </si>
  <si>
    <t>Carrie Sanchez</t>
  </si>
  <si>
    <t>DEAD</t>
  </si>
  <si>
    <t>When the lead, because of specific reasons, has permanently lost it's value. 0% chance of becoming an opp.</t>
  </si>
  <si>
    <t>LOW VALUE</t>
  </si>
  <si>
    <t xml:space="preserve">When the lead, because of present circumstances, could not qualify as an opportunity. However, if circumstances of the lead change in the future, there is possibility of becoming an opp. A lead you want to come back to sometime in the future. </t>
  </si>
  <si>
    <t>NOT QUALIFIED</t>
  </si>
  <si>
    <t xml:space="preserve">When the lead is actually an opportunity but because of glaring and obvious reasons the lead could not be converted into a closed sale. Hence, converting it into an opp would be a misrepresentation of it's actual value. </t>
  </si>
  <si>
    <t>REASSIGNMENT GUIDE FOR LEADS CREATED BEFORE APRIL 1, 2022</t>
  </si>
  <si>
    <t>A lead is eligible for reassignment when...</t>
  </si>
  <si>
    <t>LEAD STATUS is</t>
  </si>
  <si>
    <t>And the AGE is</t>
  </si>
  <si>
    <t>UNCONTACTED</t>
  </si>
  <si>
    <t>&gt;3 BUSSINESS DAYS</t>
  </si>
  <si>
    <t>LAST ACTIVITY/OPEN TASK DUE DATE IS &gt;30 DAYS OLD</t>
  </si>
  <si>
    <t>LAST ACTIVITY/OPEN TASK DUE DATE IS &gt;1 YEAR OLD</t>
  </si>
  <si>
    <t>Regardless of status</t>
  </si>
  <si>
    <t>LEAD OWNER IS NO LONGER WITH TELLWELL</t>
  </si>
  <si>
    <t>REASSIGNMENT GUIDE FOR LEADS CREATED APRIL 1, 2022 AND AFTER</t>
  </si>
  <si>
    <t>A complete MS/ 1 month lead shall be recaptured from the PC's bucket when...</t>
  </si>
  <si>
    <t>&gt; 2 BUSSINESS DAYS</t>
  </si>
  <si>
    <t>A QUICK GUIDE TO TAGGING INACTIVE/LOST OPPORTUNITIES</t>
  </si>
  <si>
    <t>&gt; 30 DAYS OLD</t>
  </si>
  <si>
    <t>&gt; 90 DAYS OLD</t>
  </si>
  <si>
    <t xml:space="preserve">*Leads that were recaptured from a PC's bucket shall be distributed evenly among other PC's working in the same territory as where the leads came from. </t>
  </si>
  <si>
    <t>VIDEO &amp; WRITTEN TUTORIALS</t>
  </si>
  <si>
    <t>Price</t>
  </si>
  <si>
    <t>TAGGING AND CONVERTING A LEAD IN ZOHO CRM</t>
  </si>
  <si>
    <t>WHO IS IT FOR?</t>
  </si>
  <si>
    <t>INCLUSIONS SUMMARY</t>
  </si>
  <si>
    <t>POTENTIAL ADD-ONS</t>
  </si>
  <si>
    <t>REGULAR PACKAGES</t>
  </si>
  <si>
    <t>Authors who are publishing their book primarily for personal satisfaction, family legacy, or passion projects, with no significant commercial or sales ambitions.</t>
  </si>
  <si>
    <t>✅ Cover design
✅ Interior layout and formatting
✅ Set-up of Print-On-Demand and Distribution accounts.
✅ Assistance in setting up retail page elements like description, BISAC codes, categories, etc.
✅ ISBN
✅ Paperback only.</t>
  </si>
  <si>
    <t>INVOICING A CLIENT IN OCTAVO</t>
  </si>
  <si>
    <t>OFFER 1</t>
  </si>
  <si>
    <t>OFFER 2</t>
  </si>
  <si>
    <t>OCTAVO PRINT CALCULATOR</t>
  </si>
  <si>
    <t>Service/Package</t>
  </si>
  <si>
    <t>ADDING  A PRINT ORDER INTO A PROJECT</t>
  </si>
  <si>
    <t>Advantage Package</t>
  </si>
  <si>
    <t>Copyediting</t>
  </si>
  <si>
    <t>Copyedit</t>
  </si>
  <si>
    <t>250 SC</t>
  </si>
  <si>
    <t>50 SC</t>
  </si>
  <si>
    <t>STEPS TO CREATE A MULTI-CURRENCY PRICE-LIST IN ZOHO CRM</t>
  </si>
  <si>
    <t>OCTAVO AUTHOR ACCESS WALK-THROUGH</t>
  </si>
  <si>
    <t>100 SC</t>
  </si>
  <si>
    <t xml:space="preserve">OTHER TUTORIAL VIDEOS </t>
  </si>
  <si>
    <t>250 HC</t>
  </si>
  <si>
    <t>165 HC</t>
  </si>
  <si>
    <t>50 HC</t>
  </si>
  <si>
    <t>75 HC</t>
  </si>
  <si>
    <t>TOTAL:</t>
  </si>
  <si>
    <t>POLICY RESOURCE DOCUMENTS</t>
  </si>
  <si>
    <t>Handling Upsells to Authors Across Teams</t>
  </si>
  <si>
    <t>2026 Referral Program SOP</t>
  </si>
  <si>
    <t>Tellwell AI Quick Guide</t>
  </si>
  <si>
    <t>Phone Country Detection Template</t>
  </si>
  <si>
    <t>Use this workbook as a plug-in section for your existing cheat sheet.</t>
  </si>
  <si>
    <t>How it works</t>
  </si>
  <si>
    <t>1) Copy the tabs you want into your current cheat sheet workbook.</t>
  </si>
  <si>
    <t>2) In Google Sheets, open Extensions &gt; Apps Script.</t>
  </si>
  <si>
    <t>3) Copy the script from the AppsScript tab and save it.</t>
  </si>
  <si>
    <t>4) In Leads!C2, the formula is already set to =POSSIBLE_COUNTRIES(B2,A2).</t>
  </si>
  <si>
    <t>5) Exact results work when the number starts with + or 00.</t>
  </si>
  <si>
    <t>6) Local numbers starting with 0 can only return possible countries if they match a pattern in LocalPatterns.</t>
  </si>
  <si>
    <t>Status guide</t>
  </si>
  <si>
    <t>Exact / high confidence = country code detected from the start of the number.</t>
  </si>
  <si>
    <t>Possible = local-number pattern matched within the selected region.</t>
  </si>
  <si>
    <t>Needs manual confirmation = not enough info to make a safe guess.</t>
  </si>
  <si>
    <t>Region</t>
  </si>
  <si>
    <t>Phone Number</t>
  </si>
  <si>
    <t>Result</t>
  </si>
  <si>
    <t>Confidence</t>
  </si>
  <si>
    <t>Notes</t>
  </si>
  <si>
    <t>+447700900123</t>
  </si>
  <si>
    <t>Code</t>
  </si>
  <si>
    <t>LATAM</t>
  </si>
  <si>
    <t>02645069753</t>
  </si>
  <si>
    <t>54</t>
  </si>
  <si>
    <t>07123456789</t>
  </si>
  <si>
    <t>591</t>
  </si>
  <si>
    <t>Local number example</t>
  </si>
  <si>
    <t>55</t>
  </si>
  <si>
    <t>0912345678</t>
  </si>
  <si>
    <t>56</t>
  </si>
  <si>
    <t>57</t>
  </si>
  <si>
    <t>506</t>
  </si>
  <si>
    <t>53</t>
  </si>
  <si>
    <t>1809</t>
  </si>
  <si>
    <t>1829</t>
  </si>
  <si>
    <t>1849</t>
  </si>
  <si>
    <t>593</t>
  </si>
  <si>
    <t>503</t>
  </si>
  <si>
    <t>502</t>
  </si>
  <si>
    <t>509</t>
  </si>
  <si>
    <t>504</t>
  </si>
  <si>
    <t>1876</t>
  </si>
  <si>
    <t>52</t>
  </si>
  <si>
    <t>505</t>
  </si>
  <si>
    <t>507</t>
  </si>
  <si>
    <t>595</t>
  </si>
  <si>
    <t>51</t>
  </si>
  <si>
    <t>1787</t>
  </si>
  <si>
    <t>1939</t>
  </si>
  <si>
    <t>598</t>
  </si>
  <si>
    <t>58</t>
  </si>
  <si>
    <t>355</t>
  </si>
  <si>
    <t>376</t>
  </si>
  <si>
    <t>43</t>
  </si>
  <si>
    <t>375</t>
  </si>
  <si>
    <t>32</t>
  </si>
  <si>
    <t>387</t>
  </si>
  <si>
    <t>359</t>
  </si>
  <si>
    <t>385</t>
  </si>
  <si>
    <t>357</t>
  </si>
  <si>
    <t>420</t>
  </si>
  <si>
    <t>45</t>
  </si>
  <si>
    <t>372</t>
  </si>
  <si>
    <t>358</t>
  </si>
  <si>
    <t>33</t>
  </si>
  <si>
    <t>49</t>
  </si>
  <si>
    <t>350</t>
  </si>
  <si>
    <t>30</t>
  </si>
  <si>
    <t>36</t>
  </si>
  <si>
    <t>354</t>
  </si>
  <si>
    <t>353</t>
  </si>
  <si>
    <t>39</t>
  </si>
  <si>
    <t>383</t>
  </si>
  <si>
    <t>371</t>
  </si>
  <si>
    <t>423</t>
  </si>
  <si>
    <t>370</t>
  </si>
  <si>
    <t>352</t>
  </si>
  <si>
    <t>356</t>
  </si>
  <si>
    <t>373</t>
  </si>
  <si>
    <t>377</t>
  </si>
  <si>
    <t>382</t>
  </si>
  <si>
    <t>31</t>
  </si>
  <si>
    <t>389</t>
  </si>
  <si>
    <t>47</t>
  </si>
  <si>
    <t>48</t>
  </si>
  <si>
    <t>351</t>
  </si>
  <si>
    <t>40</t>
  </si>
  <si>
    <t>378</t>
  </si>
  <si>
    <t>381</t>
  </si>
  <si>
    <t>421</t>
  </si>
  <si>
    <t>386</t>
  </si>
  <si>
    <t>34</t>
  </si>
  <si>
    <t>46</t>
  </si>
  <si>
    <t>41</t>
  </si>
  <si>
    <t>90</t>
  </si>
  <si>
    <t>380</t>
  </si>
  <si>
    <t>44</t>
  </si>
  <si>
    <t>379</t>
  </si>
  <si>
    <t>Regex</t>
  </si>
  <si>
    <t>^07\d{9}$</t>
  </si>
  <si>
    <t>Medium</t>
  </si>
  <si>
    <t>Typical UK mobile local format</t>
  </si>
  <si>
    <t>^08\d{8}$</t>
  </si>
  <si>
    <t>Common Irish mobile local format</t>
  </si>
  <si>
    <t>^[67]\d{8}$</t>
  </si>
  <si>
    <t>Common Spanish mobile local format</t>
  </si>
  <si>
    <t>^0[1-9]\d{8}$</t>
  </si>
  <si>
    <t>Low</t>
  </si>
  <si>
    <t>Broad French national format</t>
  </si>
  <si>
    <t>^9\d{8}$</t>
  </si>
  <si>
    <t>Common Portuguese mobile format</t>
  </si>
  <si>
    <t>^07\d{8}$</t>
  </si>
  <si>
    <t>Common Romanian mobile format</t>
  </si>
  <si>
    <t>^09\d{8}$</t>
  </si>
  <si>
    <t>Common Ecuador mobile local format</t>
  </si>
  <si>
    <t>Common Peru mobile local format</t>
  </si>
  <si>
    <t>^3\d{9}$</t>
  </si>
  <si>
    <t>Common Colombia mobile format</t>
  </si>
  <si>
    <t>^04(12|14|16|24|26)\d{7}$</t>
  </si>
  <si>
    <t>Common Venezuela mobile prefixes</t>
  </si>
  <si>
    <t>^8\d{7}$</t>
  </si>
  <si>
    <t>Broad DR local format</t>
  </si>
  <si>
    <t>Copy everything below into Google Sheets Apps Script.</t>
  </si>
  <si>
    <t>function POSSIBLE_COUNTRIES(phone, region) {</t>
  </si>
  <si>
    <t xml:space="preserve">  if (!phone) return "";</t>
  </si>
  <si>
    <t xml:space="preserve">  var ss = SpreadsheetApp.getActiveSpreadsheet();</t>
  </si>
  <si>
    <t xml:space="preserve">  var dialSheet = ss.getSheetByName("DialCodes");</t>
  </si>
  <si>
    <t xml:space="preserve">  var patternSheet = ss.getSheetByName("LocalPatterns");</t>
  </si>
  <si>
    <t xml:space="preserve">  var raw = String(phone).trim();</t>
  </si>
  <si>
    <t xml:space="preserve">  var digits = raw.replace(/\D/g, "");</t>
  </si>
  <si>
    <t xml:space="preserve">  var regionVal = String(region || "").trim().toUpperCase();</t>
  </si>
  <si>
    <t xml:space="preserve">  var isIntl = raw.startsWith("+") || digits.startsWith("00");</t>
  </si>
  <si>
    <t xml:space="preserve">  if (isIntl) {</t>
  </si>
  <si>
    <t xml:space="preserve">    var normalized = raw.startsWith("+") ? digits : digits.replace(/^00/, "");</t>
  </si>
  <si>
    <t xml:space="preserve">    if (!dialSheet || dialSheet.getLastRow() &lt; 2) {</t>
  </si>
  <si>
    <t xml:space="preserve">      return "DialCodes tab missing";</t>
  </si>
  <si>
    <t xml:space="preserve">    }</t>
  </si>
  <si>
    <t xml:space="preserve">    var dialData = dialSheet.getRange(2, 1, dialSheet.getLastRow() - 1, 3).getValues();</t>
  </si>
  <si>
    <t xml:space="preserve">    var matches = [];</t>
  </si>
  <si>
    <t xml:space="preserve">    var maxLen = 0;</t>
  </si>
  <si>
    <t xml:space="preserve">    dialData.forEach(function(row) {</t>
  </si>
  <si>
    <t xml:space="preserve">      var code = String(row[0] || "").trim();</t>
  </si>
  <si>
    <t xml:space="preserve">      var country = String(row[1] || "").trim();</t>
  </si>
  <si>
    <t xml:space="preserve">      var reg = String(row[2] || "").trim().toUpperCase();</t>
  </si>
  <si>
    <t xml:space="preserve">      if (!code || !country) return;</t>
  </si>
  <si>
    <t xml:space="preserve">      if (regionVal &amp;&amp; reg &amp;&amp; reg !== regionVal) return;</t>
  </si>
  <si>
    <t xml:space="preserve">      if (normalized.indexOf(code) === 0) {</t>
  </si>
  <si>
    <t xml:space="preserve">        if (code.length &gt; maxLen) {</t>
  </si>
  <si>
    <t xml:space="preserve">          maxLen = code.length;</t>
  </si>
  <si>
    <t xml:space="preserve">          matches = [country];</t>
  </si>
  <si>
    <t xml:space="preserve">        } else if (code.length === maxLen &amp;&amp; matches.indexOf(country) === -1) {</t>
  </si>
  <si>
    <t xml:space="preserve">          matches.push(country);</t>
  </si>
  <si>
    <t xml:space="preserve">        }</t>
  </si>
  <si>
    <t xml:space="preserve">      }</t>
  </si>
  <si>
    <t xml:space="preserve">    });</t>
  </si>
  <si>
    <t xml:space="preserve">    if (matches.length) {</t>
  </si>
  <si>
    <t xml:space="preserve">      return "Exact / high confidence: " + matches.join(" / ");</t>
  </si>
  <si>
    <t xml:space="preserve">    return "No exact country-code match";</t>
  </si>
  <si>
    <t xml:space="preserve">  }</t>
  </si>
  <si>
    <t xml:space="preserve">  if (!regionVal) {</t>
  </si>
  <si>
    <t xml:space="preserve">    return "Missing country code - select LATAM or EUR";</t>
  </si>
  <si>
    <t xml:space="preserve">  if (!patternSheet || patternSheet.getLastRow() &lt; 2) {</t>
  </si>
  <si>
    <t xml:space="preserve">    return "Missing country code - needs manual confirmation";</t>
  </si>
  <si>
    <t xml:space="preserve">  var patternData = patternSheet.getRange(2, 1, patternSheet.getLastRow() - 1, 5).getValues();</t>
  </si>
  <si>
    <t xml:space="preserve">  var possible = [];</t>
  </si>
  <si>
    <t xml:space="preserve">  patternData.forEach(function(row) {</t>
  </si>
  <si>
    <t xml:space="preserve">    var reg = String(row[0] || "").trim().toUpperCase();</t>
  </si>
  <si>
    <t xml:space="preserve">    var regex = String(row[1] || "").trim();</t>
  </si>
  <si>
    <t xml:space="preserve">    var country = String(row[2] || "").trim();</t>
  </si>
  <si>
    <t xml:space="preserve">    var confidence = String(row[3] || "").trim() || "Low";</t>
  </si>
  <si>
    <t xml:space="preserve">    if (!regex || !country) return;</t>
  </si>
  <si>
    <t xml:space="preserve">    if (reg !== regionVal) return;</t>
  </si>
  <si>
    <t xml:space="preserve">    try {</t>
  </si>
  <si>
    <t xml:space="preserve">      if (new RegExp(regex).test(digits)) {</t>
  </si>
  <si>
    <t xml:space="preserve">        var label = country + " (" + confidence + ")";</t>
  </si>
  <si>
    <t xml:space="preserve">        if (possible.indexOf(label) === -1) possible.push(label);</t>
  </si>
  <si>
    <t xml:space="preserve">    } catch (e) {}</t>
  </si>
  <si>
    <t xml:space="preserve">  });</t>
  </si>
  <si>
    <t xml:space="preserve">  if (possible.length) {</t>
  </si>
  <si>
    <t xml:space="preserve">    return "Possible: " + possible.join(" / ");</t>
  </si>
  <si>
    <t xml:space="preserve">  return "Missing country code - needs manual confirmation";</t>
  </si>
  <si>
    <t>}</t>
  </si>
  <si>
    <t>USD DISCOUNTING GUIDELINES</t>
  </si>
  <si>
    <t>UK (GBP) DISCOUNTING GUIDELINES</t>
  </si>
  <si>
    <t>EUROPE (EUR) DISCOUNTING GUIDELINES</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</si>
</sst>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quot;$&quot;#,##0.00"/>
    <numFmt numFmtId="165" formatCode="[$€]#,##0.00"/>
    <numFmt numFmtId="166" formatCode="#,##0.0000"/>
    <numFmt numFmtId="167" formatCode="_(&quot;$&quot;* #,##0.000_);_(&quot;$&quot;* \(#,##0.000\);_(&quot;$&quot;* &quot;-&quot;??.0_);_(@_)"/>
    <numFmt numFmtId="168" formatCode="&quot;$&quot;#,##0.0000"/>
    <numFmt numFmtId="169" formatCode="_(&quot;$&quot;* #,##0.0000_);_(&quot;$&quot;* \(#,##0.0000\);_(&quot;$&quot;* &quot;-&quot;??.00_);_(@_)"/>
    <numFmt numFmtId="170" formatCode="[$£]#,##0.000"/>
    <numFmt numFmtId="171" formatCode="&quot;€&quot;#,##0.00"/>
    <numFmt numFmtId="172" formatCode="[$£]#,##0.00"/>
    <numFmt numFmtId="173" formatCode="[$$]#,##0"/>
    <numFmt numFmtId="174" formatCode="[$£]#,##0"/>
    <numFmt numFmtId="175" formatCode="[$€]#,##0"/>
    <numFmt numFmtId="176" formatCode="&quot;$&quot;#,##0"/>
    <numFmt numFmtId="177" formatCode="&quot;$&quot;#,##0.000"/>
    <numFmt numFmtId="178" formatCode="_(&quot;$&quot;* #,##0.00_);_(&quot;$&quot;* \(#,##0.00\);_(&quot;$&quot;* &quot;-&quot;??_);_(@_)"/>
    <numFmt numFmtId="179" formatCode="[$€]#,##0.0000"/>
    <numFmt numFmtId="180" formatCode="_(&quot;$&quot;* #,##0_);_(&quot;$&quot;* \(#,##0\);_(&quot;$&quot;* &quot;-&quot;??_);_(@_)"/>
    <numFmt numFmtId="181" formatCode="[$€]#,##0.000"/>
    <numFmt numFmtId="182" formatCode="_(&quot;$&quot;* #,##0.00_);_(&quot;$&quot;* \(#,##0.00\);_(&quot;$&quot;* &quot;-&quot;??.00_);_(@_)"/>
    <numFmt numFmtId="183" formatCode="_(&quot;$&quot;* #,##0.000_);_(&quot;$&quot;* \(#,##0.000\);_(&quot;$&quot;* &quot;-&quot;??.000_);_(@_)"/>
    <numFmt numFmtId="184" formatCode="[$£]#,##0.0000"/>
  </numFmts>
  <fonts count="145">
    <font>
      <sz val="10.0"/>
      <color rgb="FF000000"/>
      <name val="Arial"/>
      <scheme val="minor"/>
    </font>
    <font>
      <u/>
      <color rgb="FF1155CC"/>
      <name val="Arial"/>
      <scheme val="minor"/>
    </font>
    <font>
      <b/>
      <color theme="1"/>
      <name val="Arial"/>
    </font>
    <font>
      <b/>
      <color rgb="FF000000"/>
      <name val="Arial"/>
    </font>
    <font>
      <color theme="1"/>
      <name val="Arial"/>
    </font>
    <font>
      <b/>
      <sz val="18.0"/>
      <color theme="1"/>
      <name val="Arial"/>
      <scheme val="minor"/>
    </font>
    <font>
      <color theme="1"/>
      <name val="Arial"/>
      <scheme val="minor"/>
    </font>
    <font/>
    <font>
      <b/>
      <sz val="37.0"/>
      <color rgb="FFFFFFFF"/>
      <name val="Arial"/>
      <scheme val="minor"/>
    </font>
    <font>
      <u/>
      <color rgb="FF0000FF"/>
    </font>
    <font>
      <u/>
      <color rgb="FF0000FF"/>
    </font>
    <font>
      <u/>
      <color rgb="FF0000FF"/>
    </font>
    <font>
      <u/>
      <color rgb="FF0000FF"/>
    </font>
    <font>
      <u/>
      <color rgb="FF0000FF"/>
    </font>
    <font>
      <u/>
      <color rgb="FF0000FF"/>
    </font>
    <font>
      <b/>
      <sz val="14.0"/>
      <color rgb="FFFFFFFF"/>
      <name val="Arial"/>
      <scheme val="minor"/>
    </font>
    <font>
      <u/>
      <color rgb="FF0000FF"/>
    </font>
    <font>
      <b/>
      <sz val="14.0"/>
      <color theme="1"/>
      <name val="Arial"/>
      <scheme val="minor"/>
    </font>
    <font>
      <sz val="14.0"/>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1155CC"/>
      <name val="Arial"/>
      <scheme val="minor"/>
    </font>
    <font>
      <u/>
      <color rgb="FF1155CC"/>
      <name val="Arial"/>
      <scheme val="minor"/>
    </font>
    <font>
      <b/>
      <sz val="12.0"/>
      <color theme="1"/>
      <name val="Arial"/>
      <scheme val="minor"/>
    </font>
    <font>
      <b/>
      <u/>
      <sz val="12.0"/>
      <color rgb="FF0000FF"/>
    </font>
    <font>
      <b/>
      <u/>
      <sz val="12.0"/>
      <color rgb="FF1155CC"/>
    </font>
    <font>
      <b/>
      <color theme="1"/>
      <name val="Arial"/>
      <scheme val="minor"/>
    </font>
    <font>
      <b/>
      <u/>
      <sz val="12.0"/>
      <color rgb="FF1155CC"/>
    </font>
    <font>
      <b/>
      <u/>
      <sz val="12.0"/>
      <color rgb="FF1155CC"/>
      <name val="Arial"/>
      <scheme val="minor"/>
    </font>
    <font>
      <b/>
      <u/>
      <sz val="12.0"/>
      <color rgb="FF1155CC"/>
    </font>
    <font>
      <b/>
      <u/>
      <sz val="12.0"/>
      <color rgb="FF0000FF"/>
    </font>
    <font>
      <b/>
      <u/>
      <sz val="12.0"/>
      <color rgb="FF1155CC"/>
    </font>
    <font>
      <b/>
      <u/>
      <sz val="12.0"/>
      <color rgb="FF1155CC"/>
    </font>
    <font>
      <b/>
      <u/>
      <sz val="12.0"/>
      <color rgb="FF1155CC"/>
    </font>
    <font>
      <b/>
      <u/>
      <sz val="14.0"/>
      <color rgb="FF0000FF"/>
    </font>
    <font>
      <b/>
      <u/>
      <sz val="12.0"/>
      <color rgb="FF0000FF"/>
    </font>
    <font>
      <b/>
      <u/>
      <sz val="12.0"/>
      <color rgb="FF0000FF"/>
    </font>
    <font>
      <b/>
      <u/>
      <sz val="12.0"/>
      <color rgb="FF0000FF"/>
    </font>
    <font>
      <b/>
      <u/>
      <sz val="14.0"/>
      <color rgb="FF0000FF"/>
    </font>
    <font>
      <b/>
      <u/>
      <sz val="14.0"/>
      <color rgb="FF0000FF"/>
    </font>
    <font>
      <b/>
      <sz val="14.0"/>
      <color rgb="FF000000"/>
      <name val="Arial"/>
      <scheme val="minor"/>
    </font>
    <font>
      <b/>
      <u/>
      <sz val="12.0"/>
      <color rgb="FF0000FF"/>
    </font>
    <font>
      <b/>
      <u/>
      <sz val="14.0"/>
      <color rgb="FF0000FF"/>
    </font>
    <font>
      <b/>
      <u/>
      <sz val="12.0"/>
      <color rgb="FF0000FF"/>
    </font>
    <font>
      <b/>
      <u/>
      <sz val="12.0"/>
      <color rgb="FF0000FF"/>
    </font>
    <font>
      <b/>
      <u/>
      <sz val="14.0"/>
      <color rgb="FF0000FF"/>
    </font>
    <font>
      <b/>
      <u/>
      <sz val="12.0"/>
      <color rgb="FF0000FF"/>
    </font>
    <font>
      <b/>
      <u/>
      <sz val="14.0"/>
      <color rgb="FF0000FF"/>
    </font>
    <font>
      <sz val="12.0"/>
      <color rgb="FF4C1130"/>
      <name val="Arial"/>
      <scheme val="minor"/>
    </font>
    <font>
      <b/>
      <sz val="24.0"/>
      <color rgb="FFFFFFFF"/>
      <name val="Comfortaa"/>
    </font>
    <font>
      <b/>
      <sz val="11.0"/>
      <color theme="1"/>
      <name val="Arial"/>
      <scheme val="minor"/>
    </font>
    <font>
      <b/>
      <u/>
      <sz val="13.0"/>
      <color rgb="FF0000FF"/>
    </font>
    <font>
      <u/>
      <color rgb="FF0000FF"/>
    </font>
    <font>
      <b/>
      <sz val="12.0"/>
      <color theme="0"/>
      <name val="Arial"/>
      <scheme val="minor"/>
    </font>
    <font>
      <sz val="12.0"/>
      <color theme="1"/>
      <name val="Arial"/>
      <scheme val="minor"/>
    </font>
    <font>
      <b/>
      <u/>
      <sz val="12.0"/>
      <color rgb="FF0000FF"/>
    </font>
    <font>
      <b/>
      <u/>
      <sz val="12.0"/>
      <color rgb="FF0000FF"/>
    </font>
    <font>
      <b/>
      <u/>
      <sz val="12.0"/>
      <color rgb="FF1155CC"/>
    </font>
    <font>
      <b/>
      <u/>
      <sz val="12.0"/>
      <color rgb="FF1155CC"/>
    </font>
    <font>
      <b/>
      <u/>
      <sz val="12.0"/>
      <color rgb="FF1155CC"/>
    </font>
    <font>
      <b/>
      <u/>
      <sz val="10.0"/>
      <color rgb="FF1155CC"/>
    </font>
    <font>
      <b/>
      <sz val="18.0"/>
      <color rgb="FF073763"/>
      <name val="Arial"/>
      <scheme val="minor"/>
    </font>
    <font>
      <b/>
      <u/>
      <sz val="12.0"/>
      <color rgb="FF1155CC"/>
      <name val="Arial"/>
      <scheme val="minor"/>
    </font>
    <font>
      <b/>
      <u/>
      <sz val="12.0"/>
      <color rgb="FF1155CC"/>
    </font>
    <font>
      <b/>
      <u/>
      <sz val="14.0"/>
      <color rgb="FF1155CC"/>
      <name val="Arial"/>
      <scheme val="minor"/>
    </font>
    <font>
      <b/>
      <sz val="14.0"/>
      <color theme="0"/>
      <name val="Sans-serif"/>
    </font>
    <font>
      <b/>
      <sz val="18.0"/>
      <color theme="0"/>
      <name val="Arial"/>
      <scheme val="minor"/>
    </font>
    <font>
      <sz val="11.0"/>
      <color theme="1"/>
      <name val="Arial"/>
      <scheme val="minor"/>
    </font>
    <font>
      <sz val="11.0"/>
      <color rgb="FF000000"/>
      <name val="Arial"/>
    </font>
    <font>
      <sz val="14.0"/>
      <color rgb="FF000000"/>
      <name val="Sans-serif"/>
    </font>
    <font>
      <sz val="12.0"/>
      <color rgb="FF000000"/>
      <name val="Arial"/>
    </font>
    <font>
      <b/>
      <u/>
      <sz val="14.0"/>
      <color rgb="FF1155CC"/>
    </font>
    <font>
      <b/>
      <u/>
      <sz val="14.0"/>
      <color rgb="FF0000FF"/>
    </font>
    <font>
      <b/>
      <sz val="14.0"/>
      <color theme="0"/>
      <name val="Arial"/>
      <scheme val="minor"/>
    </font>
    <font>
      <u/>
      <sz val="12.0"/>
      <color rgb="FF1155CC"/>
    </font>
    <font>
      <b/>
      <sz val="14.0"/>
      <color rgb="FF000000"/>
      <name val="Arial"/>
    </font>
    <font>
      <b/>
      <i/>
      <color theme="1"/>
      <name val="Arial"/>
      <scheme val="minor"/>
    </font>
    <font>
      <b/>
      <u/>
      <sz val="12.0"/>
      <color rgb="FF1155CC"/>
    </font>
    <font>
      <u/>
      <color rgb="FF0000FF"/>
    </font>
    <font>
      <b/>
      <u/>
      <sz val="12.0"/>
      <color rgb="FF1155CC"/>
    </font>
    <font>
      <b/>
      <color rgb="FFFFFFFF"/>
      <name val="Arial"/>
      <scheme val="minor"/>
    </font>
    <font>
      <b/>
      <u/>
      <sz val="12.0"/>
      <color rgb="FF1155CC"/>
    </font>
    <font>
      <u/>
      <sz val="11.0"/>
      <color rgb="FF0000FF"/>
    </font>
    <font>
      <b/>
      <u/>
      <sz val="12.0"/>
      <color rgb="FF1155CC"/>
      <name val="Arial"/>
      <scheme val="minor"/>
    </font>
    <font>
      <b/>
      <u/>
      <sz val="12.0"/>
      <color rgb="FF1155CC"/>
    </font>
    <font>
      <u/>
      <color theme="1"/>
      <name val="Arial"/>
    </font>
    <font>
      <b/>
      <sz val="12.0"/>
      <color rgb="FFFF0000"/>
      <name val="Arial"/>
      <scheme val="minor"/>
    </font>
    <font>
      <b/>
      <u/>
      <sz val="21.0"/>
      <color rgb="FF0000FF"/>
    </font>
    <font>
      <u/>
      <color rgb="FF0000FF"/>
    </font>
    <font>
      <b/>
      <sz val="18.0"/>
      <color rgb="FF9900FF"/>
      <name val="Arial"/>
      <scheme val="minor"/>
    </font>
    <font>
      <sz val="14.0"/>
      <color rgb="FF000000"/>
      <name val="Arial"/>
    </font>
    <font>
      <u/>
      <color theme="1"/>
      <name val="Arial"/>
    </font>
    <font>
      <u/>
      <sz val="12.0"/>
      <color rgb="FF0000FF"/>
    </font>
    <font>
      <i/>
      <sz val="12.0"/>
      <color theme="1"/>
      <name val="Arial"/>
      <scheme val="minor"/>
    </font>
    <font>
      <i/>
      <u/>
      <sz val="12.0"/>
      <color rgb="FF0000FF"/>
    </font>
    <font>
      <b/>
      <sz val="18.0"/>
      <color rgb="FF660000"/>
      <name val="Arial"/>
      <scheme val="minor"/>
    </font>
    <font>
      <u/>
      <sz val="11.0"/>
      <color rgb="FF1155CC"/>
    </font>
    <font>
      <u/>
      <sz val="11.0"/>
      <color rgb="FF1155CC"/>
    </font>
    <font>
      <sz val="18.0"/>
      <color rgb="FFFFFFFF"/>
      <name val="Arial"/>
      <scheme val="minor"/>
    </font>
    <font>
      <b/>
      <i/>
      <sz val="14.0"/>
      <color rgb="FF000000"/>
      <name val="Arial"/>
      <scheme val="minor"/>
    </font>
    <font>
      <b/>
      <sz val="12.0"/>
      <color rgb="FF9900FF"/>
      <name val="Arial"/>
      <scheme val="minor"/>
    </font>
    <font>
      <b/>
      <sz val="11.0"/>
      <color rgb="FF4C1130"/>
      <name val="Arial"/>
      <scheme val="minor"/>
    </font>
    <font>
      <b/>
      <sz val="12.0"/>
      <color theme="1"/>
      <name val="Inherit"/>
    </font>
    <font>
      <u/>
      <sz val="14.0"/>
      <color rgb="FF0000FF"/>
      <name val="Arial"/>
    </font>
    <font>
      <sz val="11.0"/>
      <color theme="1"/>
      <name val="Inherit"/>
    </font>
    <font>
      <b/>
      <sz val="12.0"/>
      <color rgb="FFFFFFFF"/>
      <name val="Arial"/>
      <scheme val="minor"/>
    </font>
    <font>
      <i/>
      <sz val="12.0"/>
      <color rgb="FF000000"/>
      <name val="Verdana"/>
    </font>
    <font>
      <b/>
      <color rgb="FFFF0000"/>
      <name val="Arial"/>
    </font>
    <font>
      <b/>
      <color theme="0"/>
      <name val="Arial"/>
      <scheme val="minor"/>
    </font>
    <font>
      <color rgb="FFFF0000"/>
      <name val="Arial"/>
    </font>
    <font>
      <b/>
      <color rgb="FF000000"/>
      <name val="Arial"/>
      <scheme val="minor"/>
    </font>
    <font>
      <b/>
      <color theme="0"/>
      <name val="Arial"/>
    </font>
    <font>
      <i/>
      <color rgb="FF783F04"/>
      <name val="Arial"/>
      <scheme val="minor"/>
    </font>
    <font>
      <b/>
      <color rgb="FF660000"/>
      <name val="Arial"/>
      <scheme val="minor"/>
    </font>
    <font>
      <b/>
      <color rgb="FF783F04"/>
      <name val="Arial"/>
      <scheme val="minor"/>
    </font>
    <font>
      <b/>
      <color rgb="FF7F6000"/>
      <name val="Arial"/>
      <scheme val="minor"/>
    </font>
    <font>
      <b/>
      <color rgb="FF274E13"/>
      <name val="Arial"/>
      <scheme val="minor"/>
    </font>
    <font>
      <b/>
      <sz val="24.0"/>
      <color rgb="FF073763"/>
      <name val="Arial"/>
      <scheme val="minor"/>
    </font>
    <font>
      <b/>
      <sz val="24.0"/>
      <color rgb="FF1C4587"/>
      <name val="Arial"/>
      <scheme val="minor"/>
    </font>
    <font>
      <b/>
      <color rgb="FFFF0000"/>
      <name val="Arial"/>
      <scheme val="minor"/>
    </font>
    <font>
      <u/>
      <color rgb="FF1155CC"/>
      <name val="Arial"/>
      <scheme val="minor"/>
    </font>
    <font>
      <b/>
      <sz val="18.0"/>
      <color rgb="FFFFFF00"/>
      <name val="Arial"/>
      <scheme val="minor"/>
    </font>
    <font>
      <b/>
      <sz val="18.0"/>
      <color rgb="FFFF0000"/>
      <name val="Arial"/>
      <scheme val="minor"/>
    </font>
    <font>
      <b/>
      <sz val="18.0"/>
      <color rgb="FFFFFFFF"/>
      <name val="Arial"/>
      <scheme val="minor"/>
    </font>
    <font>
      <b/>
      <u/>
      <sz val="12.0"/>
      <color rgb="FF0000FF"/>
    </font>
    <font>
      <b/>
      <sz val="12.0"/>
      <color rgb="FF000000"/>
      <name val="Arial"/>
      <scheme val="minor"/>
    </font>
    <font>
      <b/>
      <u/>
      <sz val="12.0"/>
      <color rgb="FF1155CC"/>
      <name val="Arial"/>
    </font>
    <font>
      <sz val="11.0"/>
      <color theme="1"/>
      <name val="Calibri"/>
    </font>
    <font>
      <sz val="11.0"/>
      <color rgb="FF333948"/>
      <name val="Zoho_Puvi_Regular"/>
    </font>
    <font>
      <b/>
      <sz val="24.0"/>
      <color rgb="FFFFFFFF"/>
      <name val="Arial"/>
      <scheme val="minor"/>
    </font>
  </fonts>
  <fills count="49">
    <fill>
      <patternFill patternType="none"/>
    </fill>
    <fill>
      <patternFill patternType="lightGray"/>
    </fill>
    <fill>
      <patternFill patternType="solid">
        <fgColor rgb="FFFF9900"/>
        <bgColor rgb="FFFF9900"/>
      </patternFill>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4A86E8"/>
        <bgColor rgb="FF4A86E8"/>
      </patternFill>
    </fill>
    <fill>
      <patternFill patternType="solid">
        <fgColor rgb="FFFCE5CD"/>
        <bgColor rgb="FFFCE5CD"/>
      </patternFill>
    </fill>
    <fill>
      <patternFill patternType="solid">
        <fgColor rgb="FFD9EAD3"/>
        <bgColor rgb="FFD9EAD3"/>
      </patternFill>
    </fill>
    <fill>
      <patternFill patternType="solid">
        <fgColor rgb="FFA4C2F4"/>
        <bgColor rgb="FFA4C2F4"/>
      </patternFill>
    </fill>
    <fill>
      <patternFill patternType="solid">
        <fgColor rgb="FFFFF2CC"/>
        <bgColor rgb="FFFFF2CC"/>
      </patternFill>
    </fill>
    <fill>
      <patternFill patternType="solid">
        <fgColor rgb="FFEAD1DC"/>
        <bgColor rgb="FFEAD1DC"/>
      </patternFill>
    </fill>
    <fill>
      <patternFill patternType="solid">
        <fgColor rgb="FFC9DAF8"/>
        <bgColor rgb="FFC9DAF8"/>
      </patternFill>
    </fill>
    <fill>
      <patternFill patternType="solid">
        <fgColor rgb="FFFF0000"/>
        <bgColor rgb="FFFF0000"/>
      </patternFill>
    </fill>
    <fill>
      <patternFill patternType="solid">
        <fgColor rgb="FFF4CCCC"/>
        <bgColor rgb="FFF4CCCC"/>
      </patternFill>
    </fill>
    <fill>
      <patternFill patternType="solid">
        <fgColor rgb="FFFFFFFF"/>
        <bgColor rgb="FFFFFFFF"/>
      </patternFill>
    </fill>
    <fill>
      <patternFill patternType="solid">
        <fgColor rgb="FF980000"/>
        <bgColor rgb="FF980000"/>
      </patternFill>
    </fill>
    <fill>
      <patternFill patternType="solid">
        <fgColor rgb="FFCC0000"/>
        <bgColor rgb="FFCC0000"/>
      </patternFill>
    </fill>
    <fill>
      <patternFill patternType="solid">
        <fgColor rgb="FF0000FF"/>
        <bgColor rgb="FF0000FF"/>
      </patternFill>
    </fill>
    <fill>
      <patternFill patternType="solid">
        <fgColor rgb="FFE6B8AF"/>
        <bgColor rgb="FFE6B8AF"/>
      </patternFill>
    </fill>
    <fill>
      <patternFill patternType="solid">
        <fgColor rgb="FFCFE2F3"/>
        <bgColor rgb="FFCFE2F3"/>
      </patternFill>
    </fill>
    <fill>
      <patternFill patternType="solid">
        <fgColor rgb="FFB6D7A8"/>
        <bgColor rgb="FFB6D7A8"/>
      </patternFill>
    </fill>
    <fill>
      <patternFill patternType="solid">
        <fgColor rgb="FFA2C4C9"/>
        <bgColor rgb="FFA2C4C9"/>
      </patternFill>
    </fill>
    <fill>
      <patternFill patternType="solid">
        <fgColor rgb="FFD5A6BD"/>
        <bgColor rgb="FFD5A6BD"/>
      </patternFill>
    </fill>
    <fill>
      <patternFill patternType="solid">
        <fgColor rgb="FFB4A7D6"/>
        <bgColor rgb="FFB4A7D6"/>
      </patternFill>
    </fill>
    <fill>
      <patternFill patternType="solid">
        <fgColor rgb="FFD9D2E9"/>
        <bgColor rgb="FFD9D2E9"/>
      </patternFill>
    </fill>
    <fill>
      <patternFill patternType="solid">
        <fgColor rgb="FF351C75"/>
        <bgColor rgb="FF351C75"/>
      </patternFill>
    </fill>
    <fill>
      <patternFill patternType="solid">
        <fgColor rgb="FFF6B26B"/>
        <bgColor rgb="FFF6B26B"/>
      </patternFill>
    </fill>
    <fill>
      <patternFill patternType="solid">
        <fgColor rgb="FFFFD966"/>
        <bgColor rgb="FFFFD966"/>
      </patternFill>
    </fill>
    <fill>
      <patternFill patternType="solid">
        <fgColor rgb="FFDD7E6B"/>
        <bgColor rgb="FFDD7E6B"/>
      </patternFill>
    </fill>
    <fill>
      <patternFill patternType="solid">
        <fgColor rgb="FF1C4587"/>
        <bgColor rgb="FF1C4587"/>
      </patternFill>
    </fill>
    <fill>
      <patternFill patternType="solid">
        <fgColor rgb="FF00FFFF"/>
        <bgColor rgb="FF00FFFF"/>
      </patternFill>
    </fill>
    <fill>
      <patternFill patternType="solid">
        <fgColor rgb="FF274E13"/>
        <bgColor rgb="FF274E13"/>
      </patternFill>
    </fill>
    <fill>
      <patternFill patternType="solid">
        <fgColor theme="4"/>
        <bgColor theme="4"/>
      </patternFill>
    </fill>
    <fill>
      <patternFill patternType="solid">
        <fgColor rgb="FFD0E0E3"/>
        <bgColor rgb="FFD0E0E3"/>
      </patternFill>
    </fill>
    <fill>
      <patternFill patternType="solid">
        <fgColor rgb="FF0C343D"/>
        <bgColor rgb="FF0C343D"/>
      </patternFill>
    </fill>
    <fill>
      <patternFill patternType="solid">
        <fgColor rgb="FF660000"/>
        <bgColor rgb="FF660000"/>
      </patternFill>
    </fill>
    <fill>
      <patternFill patternType="solid">
        <fgColor rgb="FF9900FF"/>
        <bgColor rgb="FF9900FF"/>
      </patternFill>
    </fill>
    <fill>
      <patternFill patternType="solid">
        <fgColor rgb="FF990000"/>
        <bgColor rgb="FF990000"/>
      </patternFill>
    </fill>
    <fill>
      <patternFill patternType="solid">
        <fgColor rgb="FFE06666"/>
        <bgColor rgb="FFE06666"/>
      </patternFill>
    </fill>
    <fill>
      <patternFill patternType="solid">
        <fgColor rgb="FF1155CC"/>
        <bgColor rgb="FF1155CC"/>
      </patternFill>
    </fill>
    <fill>
      <patternFill patternType="solid">
        <fgColor rgb="FFFFE599"/>
        <bgColor rgb="FFFFE599"/>
      </patternFill>
    </fill>
    <fill>
      <patternFill patternType="solid">
        <fgColor rgb="FF000000"/>
        <bgColor rgb="FF000000"/>
      </patternFill>
    </fill>
    <fill>
      <patternFill patternType="solid">
        <fgColor theme="1"/>
        <bgColor theme="1"/>
      </patternFill>
    </fill>
    <fill>
      <patternFill patternType="solid">
        <fgColor rgb="FF0B5394"/>
        <bgColor rgb="FF0B5394"/>
      </patternFill>
    </fill>
    <fill>
      <patternFill patternType="solid">
        <fgColor rgb="FF93C47D"/>
        <bgColor rgb="FF93C47D"/>
      </patternFill>
    </fill>
    <fill>
      <patternFill patternType="solid">
        <fgColor rgb="FF1F4E78"/>
        <bgColor rgb="FF1F4E78"/>
      </patternFill>
    </fill>
    <fill>
      <patternFill patternType="solid">
        <fgColor rgb="FFD9EAF7"/>
        <bgColor rgb="FFD9EAF7"/>
      </patternFill>
    </fill>
    <fill>
      <patternFill patternType="solid">
        <fgColor rgb="FF3C78D8"/>
        <bgColor rgb="FF3C78D8"/>
      </patternFill>
    </fill>
  </fills>
  <borders count="56">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ck">
        <color rgb="FF000000"/>
      </top>
    </border>
    <border>
      <top style="thick">
        <color rgb="FF000000"/>
      </top>
    </border>
    <border>
      <right style="thin">
        <color rgb="FF000000"/>
      </right>
      <top style="thick">
        <color rgb="FF000000"/>
      </top>
    </border>
    <border>
      <left style="thin">
        <color rgb="FF000000"/>
      </left>
    </border>
    <border>
      <right style="thin">
        <color rgb="FF000000"/>
      </right>
    </border>
    <border>
      <left style="thin">
        <color rgb="FF000000"/>
      </left>
      <bottom style="thick">
        <color rgb="FF000000"/>
      </bottom>
    </border>
    <border>
      <bottom style="thick">
        <color rgb="FF000000"/>
      </bottom>
    </border>
    <border>
      <right style="thin">
        <color rgb="FF000000"/>
      </right>
      <bottom style="thick">
        <color rgb="FF000000"/>
      </bottom>
    </border>
    <border>
      <bottom style="thin">
        <color rgb="FF000000"/>
      </bottom>
    </border>
    <border>
      <right style="thin">
        <color rgb="FF000000"/>
      </right>
      <bottom style="thin">
        <color rgb="FF000000"/>
      </bottom>
    </border>
    <border>
      <left style="thin">
        <color rgb="FF000000"/>
      </left>
      <right style="thick">
        <color rgb="FF000000"/>
      </right>
      <top style="thick">
        <color rgb="FF000000"/>
      </top>
    </border>
    <border>
      <right style="thick">
        <color rgb="FF000000"/>
      </right>
      <top style="thick">
        <color rgb="FF000000"/>
      </top>
    </border>
    <border>
      <left style="thick">
        <color rgb="FF000000"/>
      </left>
      <right style="thin">
        <color rgb="FF000000"/>
      </right>
      <top style="thick">
        <color rgb="FF000000"/>
      </top>
    </border>
    <border>
      <left style="thin">
        <color rgb="FF000000"/>
      </left>
      <right style="thick">
        <color rgb="FF000000"/>
      </right>
    </border>
    <border>
      <right style="thick">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n">
        <color rgb="FF000000"/>
      </right>
    </border>
    <border>
      <right style="thick">
        <color rgb="FF000000"/>
      </right>
      <bottom style="thick">
        <color rgb="FF000000"/>
      </bottom>
    </border>
    <border>
      <left style="thick">
        <color rgb="FF000000"/>
      </left>
      <right style="thin">
        <color rgb="FF000000"/>
      </right>
      <bottom style="thick">
        <color rgb="FF000000"/>
      </bottom>
    </border>
    <border>
      <left style="thick">
        <color rgb="FF000000"/>
      </left>
      <right style="thick">
        <color rgb="FF000000"/>
      </right>
      <top style="thick">
        <color rgb="FF000000"/>
      </top>
    </border>
    <border>
      <left style="thick">
        <color rgb="FF000000"/>
      </left>
      <right style="thick">
        <color rgb="FF000000"/>
      </right>
      <top style="thick">
        <color rgb="FF000000"/>
      </top>
      <bottom style="thick">
        <color rgb="FF000000"/>
      </bottom>
    </border>
    <border>
      <left style="thin">
        <color rgb="FF000000"/>
      </left>
      <right style="thick">
        <color rgb="FF000000"/>
      </right>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bottom style="thick">
        <color rgb="FF000000"/>
      </bottom>
    </border>
    <border>
      <left style="thick">
        <color rgb="FF000000"/>
      </left>
      <top style="thick">
        <color rgb="FF000000"/>
      </top>
    </border>
    <border>
      <left style="thick">
        <color rgb="FF000000"/>
      </left>
    </border>
    <border>
      <left style="thick">
        <color rgb="FF000000"/>
      </left>
      <bottom style="thick">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thin">
        <color rgb="FF000000"/>
      </left>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medium">
        <color rgb="FF000000"/>
      </left>
      <right style="medium">
        <color rgb="FF000000"/>
      </right>
      <bottom style="medium">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rder>
    <border>
      <right style="thick">
        <color rgb="FF000000"/>
      </right>
      <top style="thin">
        <color rgb="FF000000"/>
      </top>
    </border>
    <border>
      <left style="thick">
        <color rgb="FF000000"/>
      </left>
      <top style="thin">
        <color rgb="FF000000"/>
      </top>
    </border>
    <border>
      <left style="thick">
        <color rgb="FF000000"/>
      </left>
      <right style="thin">
        <color rgb="FF000000"/>
      </right>
      <bottom style="thin">
        <color rgb="FF000000"/>
      </bottom>
    </border>
    <border>
      <right style="thick">
        <color rgb="FF000000"/>
      </right>
      <bottom style="thin">
        <color rgb="FF000000"/>
      </bottom>
    </border>
    <border>
      <left style="thick">
        <color rgb="FF000000"/>
      </left>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border>
    <border>
      <left style="thin">
        <color rgb="FF000000"/>
      </left>
      <right style="thin">
        <color rgb="FF000000"/>
      </right>
      <bottom style="thin">
        <color rgb="FF000000"/>
      </bottom>
    </border>
    <border>
      <left/>
      <right/>
      <top/>
      <bottom/>
    </border>
    <border>
      <bottom style="thin">
        <color rgb="FFD0D7DE"/>
      </bottom>
    </border>
  </borders>
  <cellStyleXfs count="1">
    <xf borderId="0" fillId="0" fontId="0" numFmtId="0" applyAlignment="1" applyFont="1"/>
  </cellStyleXfs>
  <cellXfs count="533">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vertical="top"/>
    </xf>
    <xf borderId="1" fillId="0" fontId="2" numFmtId="0" xfId="0" applyAlignment="1" applyBorder="1" applyFont="1">
      <alignment horizontal="center" vertical="bottom"/>
    </xf>
    <xf borderId="1" fillId="2" fontId="3" numFmtId="164" xfId="0" applyAlignment="1" applyBorder="1" applyFill="1" applyFont="1" applyNumberFormat="1">
      <alignment horizontal="center" vertical="bottom"/>
    </xf>
    <xf borderId="1" fillId="3" fontId="3" numFmtId="164" xfId="0" applyAlignment="1" applyBorder="1" applyFill="1" applyFont="1" applyNumberFormat="1">
      <alignment horizontal="center" readingOrder="0" vertical="bottom"/>
    </xf>
    <xf borderId="1" fillId="4" fontId="3" numFmtId="164" xfId="0" applyAlignment="1" applyBorder="1" applyFill="1" applyFont="1" applyNumberFormat="1">
      <alignment horizontal="center" readingOrder="0" vertical="bottom"/>
    </xf>
    <xf borderId="1" fillId="5" fontId="3" numFmtId="164" xfId="0" applyAlignment="1" applyBorder="1" applyFill="1" applyFont="1" applyNumberFormat="1">
      <alignment horizontal="center" vertical="bottom"/>
    </xf>
    <xf borderId="1" fillId="6" fontId="3" numFmtId="165" xfId="0" applyAlignment="1" applyBorder="1" applyFill="1" applyFont="1" applyNumberFormat="1">
      <alignment horizontal="center" vertical="bottom"/>
    </xf>
    <xf borderId="1" fillId="0" fontId="4" numFmtId="0" xfId="0" applyAlignment="1" applyBorder="1" applyFont="1">
      <alignment vertical="top"/>
    </xf>
    <xf borderId="1" fillId="0" fontId="4" numFmtId="166" xfId="0" applyAlignment="1" applyBorder="1" applyFont="1" applyNumberFormat="1">
      <alignment horizontal="center" readingOrder="0" vertical="top"/>
    </xf>
    <xf borderId="0" fillId="0" fontId="5" numFmtId="0" xfId="0" applyAlignment="1" applyFont="1">
      <alignment horizontal="center" readingOrder="0" vertical="center"/>
    </xf>
    <xf borderId="1" fillId="7" fontId="6" numFmtId="164" xfId="0" applyAlignment="1" applyBorder="1" applyFill="1" applyFont="1" applyNumberFormat="1">
      <alignment horizontal="right" readingOrder="0"/>
    </xf>
    <xf borderId="1" fillId="8" fontId="6" numFmtId="164" xfId="0" applyAlignment="1" applyBorder="1" applyFill="1" applyFont="1" applyNumberFormat="1">
      <alignment horizontal="right" readingOrder="0"/>
    </xf>
    <xf borderId="2" fillId="9" fontId="5" numFmtId="0" xfId="0" applyAlignment="1" applyBorder="1" applyFill="1" applyFont="1">
      <alignment horizontal="center" readingOrder="0" vertical="center"/>
    </xf>
    <xf borderId="1" fillId="10" fontId="6" numFmtId="164" xfId="0" applyAlignment="1" applyBorder="1" applyFill="1" applyFont="1" applyNumberFormat="1">
      <alignment horizontal="right" readingOrder="0"/>
    </xf>
    <xf borderId="3" fillId="0" fontId="7" numFmtId="0" xfId="0" applyBorder="1" applyFont="1"/>
    <xf borderId="4" fillId="0" fontId="7" numFmtId="0" xfId="0" applyBorder="1" applyFont="1"/>
    <xf borderId="1" fillId="11" fontId="6" numFmtId="164" xfId="0" applyAlignment="1" applyBorder="1" applyFill="1" applyFont="1" applyNumberFormat="1">
      <alignment horizontal="right" readingOrder="0"/>
    </xf>
    <xf borderId="0" fillId="0" fontId="6" numFmtId="0" xfId="0" applyAlignment="1" applyFont="1">
      <alignment vertical="center"/>
    </xf>
    <xf borderId="1" fillId="12" fontId="6" numFmtId="165" xfId="0" applyAlignment="1" applyBorder="1" applyFill="1" applyFont="1" applyNumberFormat="1">
      <alignment horizontal="right" readingOrder="0"/>
    </xf>
    <xf borderId="0" fillId="0" fontId="8" numFmtId="0" xfId="0" applyAlignment="1" applyFont="1">
      <alignment horizontal="center" readingOrder="0" vertical="center"/>
    </xf>
    <xf borderId="0" fillId="0" fontId="2" numFmtId="0" xfId="0" applyAlignment="1" applyFont="1">
      <alignment vertical="top"/>
    </xf>
    <xf borderId="5" fillId="13" fontId="8" numFmtId="0" xfId="0" applyAlignment="1" applyBorder="1" applyFill="1" applyFont="1">
      <alignment horizontal="center" readingOrder="0" vertical="center"/>
    </xf>
    <xf borderId="1" fillId="0" fontId="4" numFmtId="166" xfId="0" applyAlignment="1" applyBorder="1" applyFont="1" applyNumberFormat="1">
      <alignment horizontal="center" vertical="top"/>
    </xf>
    <xf borderId="1" fillId="2" fontId="2" numFmtId="167" xfId="0" applyAlignment="1" applyBorder="1" applyFill="1" applyFont="1" applyNumberFormat="1">
      <alignment horizontal="center" vertical="bottom"/>
    </xf>
    <xf borderId="1" fillId="7" fontId="6" numFmtId="168" xfId="0" applyAlignment="1" applyBorder="1" applyFill="1" applyFont="1" applyNumberFormat="1">
      <alignment horizontal="right" readingOrder="0"/>
    </xf>
    <xf borderId="1" fillId="4" fontId="2" numFmtId="167" xfId="0" applyAlignment="1" applyBorder="1" applyFill="1" applyFont="1" applyNumberFormat="1">
      <alignment horizontal="center" vertical="bottom"/>
    </xf>
    <xf borderId="1" fillId="8" fontId="6" numFmtId="168" xfId="0" applyAlignment="1" applyBorder="1" applyFill="1" applyFont="1" applyNumberFormat="1">
      <alignment horizontal="right" readingOrder="0"/>
    </xf>
    <xf borderId="1" fillId="3" fontId="2" numFmtId="169" xfId="0" applyAlignment="1" applyBorder="1" applyFill="1" applyFont="1" applyNumberFormat="1">
      <alignment horizontal="center" vertical="bottom"/>
    </xf>
    <xf borderId="1" fillId="10" fontId="6" numFmtId="168" xfId="0" applyAlignment="1" applyBorder="1" applyFill="1" applyFont="1" applyNumberFormat="1">
      <alignment horizontal="right" readingOrder="0"/>
    </xf>
    <xf borderId="1" fillId="5" fontId="2" numFmtId="169" xfId="0" applyAlignment="1" applyBorder="1" applyFill="1" applyFont="1" applyNumberFormat="1">
      <alignment horizontal="center" vertical="bottom"/>
    </xf>
    <xf borderId="1" fillId="11" fontId="6" numFmtId="168" xfId="0" applyAlignment="1" applyBorder="1" applyFill="1" applyFont="1" applyNumberFormat="1">
      <alignment horizontal="right" readingOrder="0"/>
    </xf>
    <xf borderId="1" fillId="12" fontId="6" numFmtId="168" xfId="0" applyAlignment="1" applyBorder="1" applyFill="1" applyFont="1" applyNumberFormat="1">
      <alignment horizontal="right" readingOrder="0"/>
    </xf>
    <xf borderId="1" fillId="6" fontId="2" numFmtId="169" xfId="0" applyAlignment="1" applyBorder="1" applyFill="1" applyFont="1" applyNumberFormat="1">
      <alignment horizontal="center" vertical="bottom"/>
    </xf>
    <xf borderId="6" fillId="14" fontId="9" numFmtId="0" xfId="0" applyAlignment="1" applyBorder="1" applyFill="1" applyFont="1">
      <alignment horizontal="center" readingOrder="0" vertical="center"/>
    </xf>
    <xf borderId="1" fillId="0" fontId="4" numFmtId="0" xfId="0" applyAlignment="1" applyBorder="1" applyFont="1">
      <alignment vertical="bottom"/>
    </xf>
    <xf borderId="1" fillId="0" fontId="4" numFmtId="166" xfId="0" applyAlignment="1" applyBorder="1" applyFont="1" applyNumberFormat="1">
      <alignment vertical="bottom"/>
    </xf>
    <xf borderId="1" fillId="0" fontId="4" numFmtId="167" xfId="0" applyAlignment="1" applyBorder="1" applyFont="1" applyNumberFormat="1">
      <alignment vertical="bottom"/>
    </xf>
    <xf borderId="1" fillId="7" fontId="4" numFmtId="164" xfId="0" applyAlignment="1" applyBorder="1" applyFill="1" applyFont="1" applyNumberFormat="1">
      <alignment horizontal="right" vertical="bottom"/>
    </xf>
    <xf borderId="7" fillId="14" fontId="10" numFmtId="0" xfId="0" applyAlignment="1" applyBorder="1" applyFill="1" applyFont="1">
      <alignment horizontal="center" readingOrder="0" vertical="center"/>
    </xf>
    <xf borderId="1" fillId="10" fontId="4" numFmtId="164" xfId="0" applyAlignment="1" applyBorder="1" applyFill="1" applyFont="1" applyNumberFormat="1">
      <alignment horizontal="right" vertical="bottom"/>
    </xf>
    <xf borderId="1" fillId="8" fontId="4" numFmtId="164" xfId="0" applyAlignment="1" applyBorder="1" applyFill="1" applyFont="1" applyNumberFormat="1">
      <alignment horizontal="right" vertical="bottom"/>
    </xf>
    <xf borderId="1" fillId="11" fontId="4" numFmtId="170" xfId="0" applyAlignment="1" applyBorder="1" applyFill="1" applyFont="1" applyNumberFormat="1">
      <alignment horizontal="right" vertical="bottom"/>
    </xf>
    <xf borderId="8" fillId="0" fontId="7" numFmtId="0" xfId="0" applyBorder="1" applyFont="1"/>
    <xf borderId="1" fillId="12" fontId="4" numFmtId="171" xfId="0" applyAlignment="1" applyBorder="1" applyFill="1" applyFont="1" applyNumberFormat="1">
      <alignment horizontal="right" vertical="bottom"/>
    </xf>
    <xf borderId="0" fillId="0" fontId="6" numFmtId="0" xfId="0" applyAlignment="1" applyFont="1">
      <alignment horizontal="left"/>
    </xf>
    <xf borderId="0" fillId="0" fontId="6" numFmtId="49" xfId="0" applyFont="1" applyNumberFormat="1"/>
    <xf borderId="0" fillId="0" fontId="4" numFmtId="0" xfId="0" applyAlignment="1" applyFont="1">
      <alignment horizontal="right" vertical="top"/>
    </xf>
    <xf borderId="0" fillId="14" fontId="11" numFmtId="0" xfId="0" applyAlignment="1" applyFill="1" applyFont="1">
      <alignment horizontal="center" readingOrder="0" vertical="center"/>
    </xf>
    <xf borderId="0" fillId="0" fontId="4" numFmtId="0" xfId="0" applyAlignment="1" applyFont="1">
      <alignment vertical="top"/>
    </xf>
    <xf borderId="1" fillId="0" fontId="4" numFmtId="0" xfId="0" applyAlignment="1" applyBorder="1" applyFont="1">
      <alignment horizontal="center" vertical="bottom"/>
    </xf>
    <xf borderId="9" fillId="14" fontId="12" numFmtId="0" xfId="0" applyAlignment="1" applyBorder="1" applyFill="1" applyFont="1">
      <alignment horizontal="center" readingOrder="0" vertical="center"/>
    </xf>
    <xf borderId="10" fillId="0" fontId="7" numFmtId="0" xfId="0" applyBorder="1" applyFont="1"/>
    <xf borderId="11" fillId="14" fontId="13" numFmtId="0" xfId="0" applyAlignment="1" applyBorder="1" applyFill="1" applyFont="1">
      <alignment horizontal="center" readingOrder="0" vertical="center"/>
    </xf>
    <xf borderId="12" fillId="14" fontId="14" numFmtId="0" xfId="0" applyAlignment="1" applyBorder="1" applyFill="1" applyFont="1">
      <alignment horizontal="center" readingOrder="0" vertical="center"/>
    </xf>
    <xf borderId="1" fillId="15" fontId="4" numFmtId="0" xfId="0" applyAlignment="1" applyBorder="1" applyFill="1" applyFont="1">
      <alignment vertical="bottom"/>
    </xf>
    <xf borderId="5" fillId="16" fontId="8" numFmtId="0" xfId="0" applyAlignment="1" applyBorder="1" applyFill="1" applyFont="1">
      <alignment horizontal="center" readingOrder="0" vertical="center"/>
    </xf>
    <xf borderId="0" fillId="17" fontId="15" numFmtId="0" xfId="0" applyAlignment="1" applyFill="1" applyFont="1">
      <alignment horizontal="center" readingOrder="0"/>
    </xf>
    <xf borderId="0" fillId="18" fontId="15" numFmtId="0" xfId="0" applyAlignment="1" applyFill="1" applyFont="1">
      <alignment horizontal="center" readingOrder="0"/>
    </xf>
    <xf borderId="6" fillId="19" fontId="16" numFmtId="0" xfId="0" applyAlignment="1" applyBorder="1" applyFill="1" applyFont="1">
      <alignment horizontal="center" readingOrder="0" vertical="center"/>
    </xf>
    <xf borderId="0" fillId="7" fontId="17" numFmtId="49" xfId="0" applyAlignment="1" applyFill="1" applyFont="1" applyNumberFormat="1">
      <alignment horizontal="center" readingOrder="0"/>
    </xf>
    <xf borderId="0" fillId="7" fontId="17" numFmtId="0" xfId="0" applyAlignment="1" applyFill="1" applyFont="1">
      <alignment horizontal="center" readingOrder="0"/>
    </xf>
    <xf borderId="13" fillId="0" fontId="4" numFmtId="0" xfId="0" applyAlignment="1" applyBorder="1" applyFont="1">
      <alignment vertical="top"/>
    </xf>
    <xf borderId="0" fillId="0" fontId="18" numFmtId="49" xfId="0" applyAlignment="1" applyFont="1" applyNumberFormat="1">
      <alignment readingOrder="0"/>
    </xf>
    <xf borderId="7" fillId="19" fontId="19" numFmtId="0" xfId="0" applyAlignment="1" applyBorder="1" applyFill="1" applyFont="1">
      <alignment horizontal="center" readingOrder="0" vertical="center"/>
    </xf>
    <xf quotePrefix="1" borderId="0" fillId="0" fontId="18" numFmtId="49" xfId="0" applyAlignment="1" applyFont="1" applyNumberFormat="1">
      <alignment horizontal="center" readingOrder="0"/>
    </xf>
    <xf borderId="9" fillId="0" fontId="4" numFmtId="0" xfId="0" applyAlignment="1" applyBorder="1" applyFont="1">
      <alignment horizontal="right" vertical="top"/>
    </xf>
    <xf borderId="14" fillId="0" fontId="4" numFmtId="0" xfId="0" applyAlignment="1" applyBorder="1" applyFont="1">
      <alignment vertical="top"/>
    </xf>
    <xf borderId="0" fillId="19" fontId="20" numFmtId="0" xfId="0" applyAlignment="1" applyFill="1" applyFont="1">
      <alignment horizontal="center" readingOrder="0" vertical="center"/>
    </xf>
    <xf borderId="9" fillId="19" fontId="21" numFmtId="0" xfId="0" applyAlignment="1" applyBorder="1" applyFill="1" applyFont="1">
      <alignment horizontal="center" readingOrder="0" vertical="center"/>
    </xf>
    <xf borderId="11" fillId="19" fontId="22" numFmtId="0" xfId="0" applyAlignment="1" applyBorder="1" applyFill="1" applyFont="1">
      <alignment horizontal="center" readingOrder="0" vertical="center"/>
    </xf>
    <xf borderId="0" fillId="0" fontId="18" numFmtId="0" xfId="0" applyAlignment="1" applyFont="1">
      <alignment readingOrder="0"/>
    </xf>
    <xf borderId="12" fillId="19" fontId="23" numFmtId="0" xfId="0" applyAlignment="1" applyBorder="1" applyFill="1" applyFont="1">
      <alignment horizontal="center" readingOrder="0" vertical="center"/>
    </xf>
    <xf borderId="5" fillId="18" fontId="8" numFmtId="0" xfId="0" applyAlignment="1" applyBorder="1" applyFill="1" applyFont="1">
      <alignment horizontal="center" readingOrder="0" vertical="center"/>
    </xf>
    <xf borderId="6" fillId="20" fontId="24" numFmtId="0" xfId="0" applyAlignment="1" applyBorder="1" applyFill="1" applyFont="1">
      <alignment horizontal="center" readingOrder="0" vertical="center"/>
    </xf>
    <xf borderId="7" fillId="20" fontId="25" numFmtId="0" xfId="0" applyAlignment="1" applyBorder="1" applyFill="1" applyFont="1">
      <alignment horizontal="center" readingOrder="0" vertical="center"/>
    </xf>
    <xf borderId="0" fillId="20" fontId="26" numFmtId="0" xfId="0" applyAlignment="1" applyFill="1" applyFont="1">
      <alignment horizontal="center" readingOrder="0" vertical="center"/>
    </xf>
    <xf borderId="9" fillId="20" fontId="27" numFmtId="0" xfId="0" applyAlignment="1" applyBorder="1" applyFill="1" applyFont="1">
      <alignment horizontal="center" readingOrder="0" vertical="center"/>
    </xf>
    <xf borderId="11" fillId="20" fontId="28" numFmtId="0" xfId="0" applyAlignment="1" applyBorder="1" applyFill="1" applyFont="1">
      <alignment horizontal="center" readingOrder="0" vertical="center"/>
    </xf>
    <xf borderId="1" fillId="7" fontId="4" numFmtId="164" xfId="0" applyAlignment="1" applyBorder="1" applyFill="1" applyFont="1" applyNumberFormat="1">
      <alignment horizontal="right" readingOrder="0" vertical="bottom"/>
    </xf>
    <xf borderId="12" fillId="20" fontId="29" numFmtId="0" xfId="0" applyAlignment="1" applyBorder="1" applyFill="1" applyFont="1">
      <alignment horizontal="center" readingOrder="0" vertical="center"/>
    </xf>
    <xf borderId="1" fillId="10" fontId="4" numFmtId="164" xfId="0" applyAlignment="1" applyBorder="1" applyFill="1" applyFont="1" applyNumberFormat="1">
      <alignment horizontal="right" readingOrder="0" vertical="bottom"/>
    </xf>
    <xf borderId="1" fillId="8" fontId="4" numFmtId="164" xfId="0" applyAlignment="1" applyBorder="1" applyFill="1" applyFont="1" applyNumberFormat="1">
      <alignment horizontal="right" readingOrder="0" vertical="bottom"/>
    </xf>
    <xf borderId="1" fillId="12" fontId="4" numFmtId="171" xfId="0" applyAlignment="1" applyBorder="1" applyFill="1" applyFont="1" applyNumberFormat="1">
      <alignment horizontal="right" readingOrder="0" vertical="bottom"/>
    </xf>
    <xf borderId="5" fillId="6" fontId="8" numFmtId="0" xfId="0" applyAlignment="1" applyBorder="1" applyFill="1" applyFont="1">
      <alignment horizontal="center" readingOrder="0" vertical="center"/>
    </xf>
    <xf borderId="6" fillId="12" fontId="30" numFmtId="0" xfId="0" applyAlignment="1" applyBorder="1" applyFill="1" applyFont="1">
      <alignment horizontal="center" readingOrder="0" vertical="center"/>
    </xf>
    <xf borderId="7" fillId="12" fontId="31" numFmtId="0" xfId="0" applyAlignment="1" applyBorder="1" applyFill="1" applyFont="1">
      <alignment horizontal="center" readingOrder="0" vertical="center"/>
    </xf>
    <xf borderId="0" fillId="12" fontId="32" numFmtId="0" xfId="0" applyAlignment="1" applyFill="1" applyFont="1">
      <alignment horizontal="center" readingOrder="0" vertical="center"/>
    </xf>
    <xf borderId="9" fillId="12" fontId="33" numFmtId="0" xfId="0" applyAlignment="1" applyBorder="1" applyFill="1" applyFont="1">
      <alignment horizontal="center" readingOrder="0" vertical="center"/>
    </xf>
    <xf borderId="11" fillId="12" fontId="34" numFmtId="0" xfId="0" applyAlignment="1" applyBorder="1" applyFill="1" applyFont="1">
      <alignment horizontal="center" readingOrder="0" vertical="center"/>
    </xf>
    <xf borderId="12" fillId="12" fontId="35" numFmtId="0" xfId="0" applyAlignment="1" applyBorder="1" applyFill="1" applyFont="1">
      <alignment horizontal="center" readingOrder="0" vertical="center"/>
    </xf>
    <xf borderId="0" fillId="0" fontId="6" numFmtId="0" xfId="0" applyAlignment="1" applyFont="1">
      <alignment horizontal="center" readingOrder="0" vertical="center"/>
    </xf>
    <xf borderId="8" fillId="0" fontId="6" numFmtId="0" xfId="0" applyAlignment="1" applyBorder="1" applyFont="1">
      <alignment horizontal="center" readingOrder="0" vertical="center"/>
    </xf>
    <xf borderId="0" fillId="0" fontId="36" numFmtId="0" xfId="0" applyAlignment="1" applyFont="1">
      <alignment horizontal="center" readingOrder="0" vertical="center"/>
    </xf>
    <xf borderId="9" fillId="0" fontId="37" numFmtId="0" xfId="0" applyAlignment="1" applyBorder="1" applyFont="1">
      <alignment horizontal="center" readingOrder="0" vertical="center"/>
    </xf>
    <xf borderId="1" fillId="0" fontId="4" numFmtId="0" xfId="0" applyAlignment="1" applyBorder="1" applyFont="1">
      <alignment horizontal="center" readingOrder="0" vertical="bottom"/>
    </xf>
    <xf borderId="0" fillId="0" fontId="17" numFmtId="0" xfId="0" applyAlignment="1" applyFont="1">
      <alignment readingOrder="0" shrinkToFit="0" vertical="center" wrapText="1"/>
    </xf>
    <xf borderId="15" fillId="21" fontId="17" numFmtId="0" xfId="0" applyAlignment="1" applyBorder="1" applyFill="1" applyFont="1">
      <alignment readingOrder="0" shrinkToFit="0" vertical="center" wrapText="1"/>
    </xf>
    <xf borderId="16" fillId="22" fontId="17" numFmtId="0" xfId="0" applyAlignment="1" applyBorder="1" applyFill="1" applyFont="1">
      <alignment readingOrder="0" shrinkToFit="0" vertical="center" wrapText="1"/>
    </xf>
    <xf borderId="17" fillId="23" fontId="17" numFmtId="0" xfId="0" applyAlignment="1" applyBorder="1" applyFill="1" applyFont="1">
      <alignment readingOrder="0" shrinkToFit="0" vertical="center" wrapText="1"/>
    </xf>
    <xf borderId="0" fillId="0" fontId="4" numFmtId="0" xfId="0" applyAlignment="1" applyFont="1">
      <alignment shrinkToFit="0" vertical="top" wrapText="0"/>
    </xf>
    <xf borderId="0" fillId="0" fontId="38" numFmtId="0" xfId="0" applyAlignment="1" applyFont="1">
      <alignment readingOrder="0" shrinkToFit="0" vertical="center" wrapText="1"/>
    </xf>
    <xf borderId="18" fillId="8" fontId="39" numFmtId="0" xfId="0" applyAlignment="1" applyBorder="1" applyFill="1" applyFont="1">
      <alignment readingOrder="0" shrinkToFit="0" vertical="center" wrapText="1"/>
    </xf>
    <xf borderId="1" fillId="11" fontId="4" numFmtId="0" xfId="0" applyAlignment="1" applyBorder="1" applyFill="1" applyFont="1">
      <alignment horizontal="right" vertical="bottom"/>
    </xf>
    <xf borderId="0" fillId="0" fontId="6" numFmtId="0" xfId="0" applyAlignment="1" applyFont="1">
      <alignment horizontal="right"/>
    </xf>
    <xf borderId="0" fillId="0" fontId="6" numFmtId="0" xfId="0" applyAlignment="1" applyFont="1">
      <alignment horizontal="center"/>
    </xf>
    <xf borderId="0" fillId="0" fontId="6" numFmtId="164" xfId="0" applyAlignment="1" applyFont="1" applyNumberFormat="1">
      <alignment horizontal="right"/>
    </xf>
    <xf borderId="0" fillId="0" fontId="6" numFmtId="165" xfId="0" applyAlignment="1" applyFont="1" applyNumberFormat="1">
      <alignment horizontal="right"/>
    </xf>
    <xf borderId="19" fillId="12" fontId="40" numFmtId="0" xfId="0" applyAlignment="1" applyBorder="1" applyFill="1" applyFont="1">
      <alignment readingOrder="0" shrinkToFit="0" vertical="center" wrapText="1"/>
    </xf>
    <xf borderId="1" fillId="0" fontId="41" numFmtId="0" xfId="0" applyAlignment="1" applyBorder="1" applyFont="1">
      <alignment readingOrder="0"/>
    </xf>
    <xf borderId="1" fillId="0" fontId="6" numFmtId="0" xfId="0" applyAlignment="1" applyBorder="1" applyFont="1">
      <alignment horizontal="left"/>
    </xf>
    <xf borderId="20" fillId="0" fontId="6" numFmtId="0" xfId="0" applyAlignment="1" applyBorder="1" applyFont="1">
      <alignment horizontal="right"/>
    </xf>
    <xf borderId="21" fillId="0" fontId="7" numFmtId="0" xfId="0" applyBorder="1" applyFont="1"/>
    <xf borderId="22" fillId="0" fontId="7" numFmtId="0" xfId="0" applyBorder="1" applyFont="1"/>
    <xf borderId="23" fillId="11" fontId="42" numFmtId="0" xfId="0" applyAlignment="1" applyBorder="1" applyFill="1" applyFont="1">
      <alignment readingOrder="0" shrinkToFit="0" vertical="center" wrapText="1"/>
    </xf>
    <xf borderId="1" fillId="0" fontId="6" numFmtId="0" xfId="0" applyAlignment="1" applyBorder="1" applyFont="1">
      <alignment readingOrder="0"/>
    </xf>
    <xf borderId="0" fillId="0" fontId="4" numFmtId="0" xfId="0" applyAlignment="1" applyFont="1">
      <alignment vertical="bottom"/>
    </xf>
    <xf borderId="1" fillId="11" fontId="6" numFmtId="172" xfId="0" applyAlignment="1" applyBorder="1" applyFill="1" applyFont="1" applyNumberFormat="1">
      <alignment horizontal="right" readingOrder="0"/>
    </xf>
    <xf borderId="1" fillId="0" fontId="4" numFmtId="0" xfId="0" applyAlignment="1" applyBorder="1" applyFont="1">
      <alignment vertical="bottom"/>
    </xf>
    <xf borderId="0" fillId="0" fontId="43" numFmtId="0" xfId="0" applyAlignment="1" applyFont="1">
      <alignment readingOrder="0" shrinkToFit="0" vertical="center" wrapText="1"/>
    </xf>
    <xf borderId="18" fillId="8" fontId="44" numFmtId="0" xfId="0" applyAlignment="1" applyBorder="1" applyFill="1" applyFont="1">
      <alignment readingOrder="0" shrinkToFit="0" vertical="center" wrapText="1"/>
    </xf>
    <xf borderId="23" fillId="11" fontId="45" numFmtId="0" xfId="0" applyAlignment="1" applyBorder="1" applyFill="1" applyFont="1">
      <alignment readingOrder="0" shrinkToFit="0" vertical="center" wrapText="1"/>
    </xf>
    <xf borderId="0" fillId="12" fontId="46" numFmtId="0" xfId="0" applyAlignment="1" applyFill="1" applyFont="1">
      <alignment readingOrder="0" shrinkToFit="0" vertical="center" wrapText="1"/>
    </xf>
    <xf borderId="0" fillId="0" fontId="41" numFmtId="0" xfId="0" applyAlignment="1" applyFont="1">
      <alignment readingOrder="0"/>
    </xf>
    <xf borderId="0" fillId="0" fontId="6" numFmtId="0" xfId="0" applyAlignment="1" applyFont="1">
      <alignment readingOrder="0"/>
    </xf>
    <xf borderId="0" fillId="0" fontId="6" numFmtId="173" xfId="0" applyFont="1" applyNumberFormat="1"/>
    <xf borderId="0" fillId="0" fontId="6" numFmtId="174" xfId="0" applyAlignment="1" applyFont="1" applyNumberFormat="1">
      <alignment horizontal="right"/>
    </xf>
    <xf borderId="0" fillId="0" fontId="6" numFmtId="175" xfId="0" applyFont="1" applyNumberFormat="1"/>
    <xf borderId="17" fillId="24" fontId="17" numFmtId="0" xfId="0" applyAlignment="1" applyBorder="1" applyFill="1" applyFont="1">
      <alignment readingOrder="0" shrinkToFit="0" vertical="center" wrapText="1"/>
    </xf>
    <xf borderId="23" fillId="25" fontId="47" numFmtId="0" xfId="0" applyAlignment="1" applyBorder="1" applyFill="1" applyFont="1">
      <alignment readingOrder="0" shrinkToFit="0" vertical="center" wrapText="1"/>
    </xf>
    <xf borderId="0" fillId="7" fontId="6" numFmtId="0" xfId="0" applyFill="1" applyFont="1"/>
    <xf borderId="0" fillId="10" fontId="6" numFmtId="0" xfId="0" applyFill="1" applyFont="1"/>
    <xf borderId="0" fillId="8" fontId="6" numFmtId="0" xfId="0" applyFill="1" applyFont="1"/>
    <xf borderId="0" fillId="11" fontId="6" numFmtId="0" xfId="0" applyAlignment="1" applyFill="1" applyFont="1">
      <alignment horizontal="right"/>
    </xf>
    <xf borderId="0" fillId="12" fontId="6" numFmtId="0" xfId="0" applyFill="1" applyFont="1"/>
    <xf borderId="11" fillId="12" fontId="48" numFmtId="0" xfId="0" applyAlignment="1" applyBorder="1" applyFill="1" applyFont="1">
      <alignment readingOrder="0" shrinkToFit="0" vertical="center" wrapText="1"/>
    </xf>
    <xf borderId="24" fillId="7" fontId="49" numFmtId="0" xfId="0" applyAlignment="1" applyBorder="1" applyFill="1" applyFont="1">
      <alignment readingOrder="0" shrinkToFit="0" vertical="center" wrapText="1"/>
    </xf>
    <xf borderId="1" fillId="8" fontId="50" numFmtId="0" xfId="0" applyAlignment="1" applyBorder="1" applyFill="1" applyFont="1">
      <alignment readingOrder="0" shrinkToFit="0" vertical="center" wrapText="1"/>
    </xf>
    <xf borderId="25" fillId="25" fontId="51" numFmtId="0" xfId="0" applyAlignment="1" applyBorder="1" applyFill="1" applyFont="1">
      <alignment readingOrder="0" shrinkToFit="0" vertical="center" wrapText="1"/>
    </xf>
    <xf borderId="8" fillId="8" fontId="52" numFmtId="0" xfId="0" applyAlignment="1" applyBorder="1" applyFill="1" applyFont="1">
      <alignment readingOrder="0" shrinkToFit="0" vertical="center" wrapText="1"/>
    </xf>
    <xf borderId="26" fillId="14" fontId="53" numFmtId="0" xfId="0" applyAlignment="1" applyBorder="1" applyFill="1" applyFont="1">
      <alignment readingOrder="0" shrinkToFit="0" vertical="center" wrapText="1"/>
    </xf>
    <xf borderId="12" fillId="7" fontId="54" numFmtId="0" xfId="0" applyAlignment="1" applyBorder="1" applyFill="1" applyFont="1">
      <alignment readingOrder="0" shrinkToFit="0" vertical="center" wrapText="1"/>
    </xf>
    <xf borderId="0" fillId="0" fontId="55" numFmtId="0" xfId="0" applyAlignment="1" applyFont="1">
      <alignment readingOrder="0" shrinkToFit="0" vertical="center" wrapText="1"/>
    </xf>
    <xf borderId="5" fillId="21" fontId="55" numFmtId="0" xfId="0" applyAlignment="1" applyBorder="1" applyFill="1" applyFont="1">
      <alignment readingOrder="0" shrinkToFit="0" vertical="center" wrapText="1"/>
    </xf>
    <xf borderId="20" fillId="8" fontId="56" numFmtId="0" xfId="0" applyAlignment="1" applyBorder="1" applyFill="1" applyFont="1">
      <alignment readingOrder="0" shrinkToFit="0" vertical="center" wrapText="1"/>
    </xf>
    <xf borderId="27" fillId="7" fontId="57" numFmtId="0" xfId="0" applyAlignment="1" applyBorder="1" applyFill="1" applyFont="1">
      <alignment readingOrder="0" shrinkToFit="0" vertical="center" wrapText="1"/>
    </xf>
    <xf borderId="28" fillId="8" fontId="58" numFmtId="0" xfId="0" applyAlignment="1" applyBorder="1" applyFill="1" applyFont="1">
      <alignment readingOrder="0" shrinkToFit="0" vertical="center" wrapText="1"/>
    </xf>
    <xf borderId="13" fillId="7" fontId="59" numFmtId="0" xfId="0" applyAlignment="1" applyBorder="1" applyFill="1" applyFont="1">
      <alignment readingOrder="0" shrinkToFit="0" vertical="center" wrapText="1"/>
    </xf>
    <xf borderId="29" fillId="7" fontId="60" numFmtId="0" xfId="0" applyAlignment="1" applyBorder="1" applyFill="1" applyFont="1">
      <alignment readingOrder="0" shrinkToFit="0" vertical="center" wrapText="1"/>
    </xf>
    <xf borderId="30" fillId="8" fontId="61" numFmtId="0" xfId="0" applyAlignment="1" applyBorder="1" applyFill="1" applyFont="1">
      <alignment readingOrder="0" shrinkToFit="0" vertical="center" wrapText="1"/>
    </xf>
    <xf borderId="30" fillId="7" fontId="62" numFmtId="0" xfId="0" applyAlignment="1" applyBorder="1" applyFill="1" applyFont="1">
      <alignment readingOrder="0" shrinkToFit="0" vertical="center" wrapText="1"/>
    </xf>
    <xf borderId="0" fillId="0" fontId="6" numFmtId="0" xfId="0" applyAlignment="1" applyFont="1">
      <alignment shrinkToFit="0" vertical="center" wrapText="1"/>
    </xf>
    <xf borderId="31" fillId="0" fontId="63" numFmtId="0" xfId="0" applyAlignment="1" applyBorder="1" applyFont="1">
      <alignment horizontal="center" readingOrder="0" vertical="center"/>
    </xf>
    <xf borderId="6" fillId="0" fontId="7" numFmtId="0" xfId="0" applyBorder="1" applyFont="1"/>
    <xf borderId="16" fillId="0" fontId="7" numFmtId="0" xfId="0" applyBorder="1" applyFont="1"/>
    <xf borderId="0" fillId="0" fontId="6" numFmtId="0" xfId="0" applyAlignment="1" applyFont="1">
      <alignment shrinkToFit="0" wrapText="1"/>
    </xf>
    <xf borderId="32" fillId="26" fontId="64" numFmtId="0" xfId="0" applyAlignment="1" applyBorder="1" applyFill="1" applyFont="1">
      <alignment horizontal="center" readingOrder="0" vertical="center"/>
    </xf>
    <xf borderId="19" fillId="0" fontId="7" numFmtId="0" xfId="0" applyBorder="1" applyFont="1"/>
    <xf borderId="32" fillId="0" fontId="7" numFmtId="0" xfId="0" applyBorder="1" applyFont="1"/>
    <xf borderId="33" fillId="0" fontId="7" numFmtId="0" xfId="0" applyBorder="1" applyFont="1"/>
    <xf borderId="11" fillId="0" fontId="7" numFmtId="0" xfId="0" applyBorder="1" applyFont="1"/>
    <xf borderId="24" fillId="0" fontId="7" numFmtId="0" xfId="0" applyBorder="1" applyFont="1"/>
    <xf borderId="0" fillId="0" fontId="65" numFmtId="0" xfId="0" applyAlignment="1" applyFont="1">
      <alignment readingOrder="0"/>
    </xf>
    <xf borderId="0" fillId="3" fontId="66" numFmtId="0" xfId="0" applyAlignment="1" applyFill="1" applyFont="1">
      <alignment horizontal="center" readingOrder="0" vertical="center"/>
    </xf>
    <xf borderId="0" fillId="0" fontId="38" numFmtId="0" xfId="0" applyAlignment="1" applyFont="1">
      <alignment readingOrder="0"/>
    </xf>
    <xf borderId="0" fillId="0" fontId="67" numFmtId="0" xfId="0" applyAlignment="1" applyFont="1">
      <alignment readingOrder="0"/>
    </xf>
    <xf borderId="0" fillId="13" fontId="68" numFmtId="0" xfId="0" applyAlignment="1" applyFill="1" applyFont="1">
      <alignment readingOrder="0"/>
    </xf>
    <xf borderId="0" fillId="0" fontId="69" numFmtId="0" xfId="0" applyAlignment="1" applyFont="1">
      <alignment readingOrder="0"/>
    </xf>
    <xf borderId="34" fillId="27" fontId="17" numFmtId="0" xfId="0" applyAlignment="1" applyBorder="1" applyFill="1" applyFont="1">
      <alignment readingOrder="0" shrinkToFit="0" vertical="center" wrapText="1"/>
    </xf>
    <xf borderId="0" fillId="16" fontId="68" numFmtId="0" xfId="0" applyAlignment="1" applyFill="1" applyFont="1">
      <alignment readingOrder="0"/>
    </xf>
    <xf borderId="16" fillId="28" fontId="17" numFmtId="0" xfId="0" applyAlignment="1" applyBorder="1" applyFill="1" applyFont="1">
      <alignment readingOrder="0" shrinkToFit="0" vertical="center" wrapText="1"/>
    </xf>
    <xf borderId="16" fillId="29" fontId="17" numFmtId="0" xfId="0" applyAlignment="1" applyBorder="1" applyFill="1" applyFont="1">
      <alignment readingOrder="0" shrinkToFit="0" vertical="center" wrapText="1"/>
    </xf>
    <xf borderId="0" fillId="18" fontId="68" numFmtId="0" xfId="0" applyAlignment="1" applyFill="1" applyFont="1">
      <alignment readingOrder="0"/>
    </xf>
    <xf borderId="0" fillId="0" fontId="69" numFmtId="49" xfId="0" applyAlignment="1" applyFont="1" applyNumberFormat="1">
      <alignment readingOrder="0"/>
    </xf>
    <xf borderId="35" fillId="7" fontId="70" numFmtId="0" xfId="0" applyAlignment="1" applyBorder="1" applyFill="1" applyFont="1">
      <alignment readingOrder="0" shrinkToFit="0" vertical="center" wrapText="1"/>
    </xf>
    <xf borderId="0" fillId="30" fontId="68" numFmtId="0" xfId="0" applyAlignment="1" applyFill="1" applyFont="1">
      <alignment readingOrder="0"/>
    </xf>
    <xf borderId="19" fillId="10" fontId="71" numFmtId="0" xfId="0" applyAlignment="1" applyBorder="1" applyFill="1" applyFont="1">
      <alignment readingOrder="0" shrinkToFit="0" vertical="center" wrapText="1"/>
    </xf>
    <xf borderId="19" fillId="19" fontId="38" numFmtId="0" xfId="0" applyAlignment="1" applyBorder="1" applyFill="1" applyFont="1">
      <alignment readingOrder="0" shrinkToFit="0" vertical="center" wrapText="1"/>
    </xf>
    <xf borderId="2" fillId="4" fontId="38" numFmtId="0" xfId="0" applyAlignment="1" applyBorder="1" applyFill="1" applyFont="1">
      <alignment horizontal="center" readingOrder="0"/>
    </xf>
    <xf borderId="2" fillId="31" fontId="38" numFmtId="0" xfId="0" applyAlignment="1" applyBorder="1" applyFill="1" applyFont="1">
      <alignment horizontal="center" readingOrder="0" vertical="center"/>
    </xf>
    <xf borderId="19" fillId="10" fontId="72" numFmtId="0" xfId="0" applyAlignment="1" applyBorder="1" applyFill="1" applyFont="1">
      <alignment readingOrder="0" shrinkToFit="0" vertical="center" wrapText="1"/>
    </xf>
    <xf borderId="8" fillId="0" fontId="69" numFmtId="0" xfId="0" applyAlignment="1" applyBorder="1" applyFont="1">
      <alignment horizontal="center" readingOrder="0" shrinkToFit="0" vertical="center" wrapText="1"/>
    </xf>
    <xf borderId="9" fillId="0" fontId="7" numFmtId="0" xfId="0" applyBorder="1" applyFont="1"/>
    <xf borderId="19" fillId="19" fontId="73" numFmtId="0" xfId="0" applyAlignment="1" applyBorder="1" applyFill="1" applyFont="1">
      <alignment readingOrder="0" shrinkToFit="0" vertical="center" wrapText="1"/>
    </xf>
    <xf borderId="36" fillId="0" fontId="7" numFmtId="0" xfId="0" applyBorder="1" applyFont="1"/>
    <xf borderId="13" fillId="0" fontId="7" numFmtId="0" xfId="0" applyBorder="1" applyFont="1"/>
    <xf borderId="14" fillId="0" fontId="7" numFmtId="0" xfId="0" applyBorder="1" applyFont="1"/>
    <xf borderId="35" fillId="7" fontId="74" numFmtId="0" xfId="0" applyAlignment="1" applyBorder="1" applyFill="1" applyFont="1">
      <alignment readingOrder="0" shrinkToFit="0" vertical="center" wrapText="1"/>
    </xf>
    <xf borderId="19" fillId="10" fontId="75" numFmtId="0" xfId="0" applyAlignment="1" applyBorder="1" applyFill="1" applyFont="1">
      <alignment readingOrder="0" shrinkToFit="0" vertical="center" wrapText="1"/>
    </xf>
    <xf borderId="8" fillId="0" fontId="5" numFmtId="0" xfId="0" applyAlignment="1" applyBorder="1" applyFont="1">
      <alignment horizontal="center" readingOrder="0" vertical="center"/>
    </xf>
    <xf borderId="31" fillId="0" fontId="76" numFmtId="0" xfId="0" applyAlignment="1" applyBorder="1" applyFont="1">
      <alignment horizontal="center" readingOrder="0"/>
    </xf>
    <xf borderId="36" fillId="0" fontId="69" numFmtId="0" xfId="0" applyAlignment="1" applyBorder="1" applyFont="1">
      <alignment horizontal="center" readingOrder="0" shrinkToFit="0" vertical="center" wrapText="1"/>
    </xf>
    <xf borderId="19" fillId="10" fontId="77" numFmtId="0" xfId="0" applyAlignment="1" applyBorder="1" applyFill="1" applyFont="1">
      <alignment readingOrder="0" shrinkToFit="0" vertical="center" wrapText="1"/>
    </xf>
    <xf borderId="37" fillId="8" fontId="17" numFmtId="0" xfId="0" applyAlignment="1" applyBorder="1" applyFill="1" applyFont="1">
      <alignment horizontal="center" readingOrder="0" vertical="center"/>
    </xf>
    <xf borderId="2" fillId="3" fontId="5" numFmtId="0" xfId="0" applyAlignment="1" applyBorder="1" applyFill="1" applyFont="1">
      <alignment horizontal="center" readingOrder="0" vertical="center"/>
    </xf>
    <xf borderId="24" fillId="19" fontId="78" numFmtId="0" xfId="0" applyAlignment="1" applyBorder="1" applyFill="1" applyFont="1">
      <alignment readingOrder="0" shrinkToFit="0" vertical="center" wrapText="1"/>
    </xf>
    <xf borderId="38" fillId="8" fontId="17" numFmtId="0" xfId="0" applyAlignment="1" applyBorder="1" applyFill="1" applyFont="1">
      <alignment horizontal="center" readingOrder="0" vertical="center"/>
    </xf>
    <xf borderId="0" fillId="0" fontId="79" numFmtId="0" xfId="0" applyAlignment="1" applyFont="1">
      <alignment readingOrder="0" shrinkToFit="0" vertical="center" wrapText="1"/>
    </xf>
    <xf borderId="0" fillId="0" fontId="41" numFmtId="0" xfId="0" applyAlignment="1" applyFont="1">
      <alignment readingOrder="0" vertical="center"/>
    </xf>
    <xf borderId="20" fillId="10" fontId="17" numFmtId="0" xfId="0" applyAlignment="1" applyBorder="1" applyFill="1" applyFont="1">
      <alignment horizontal="center" readingOrder="0"/>
    </xf>
    <xf borderId="39" fillId="32" fontId="80" numFmtId="0" xfId="0" applyAlignment="1" applyBorder="1" applyFill="1" applyFont="1">
      <alignment horizontal="center" readingOrder="0"/>
    </xf>
    <xf borderId="31" fillId="33" fontId="81" numFmtId="0" xfId="0" applyAlignment="1" applyBorder="1" applyFill="1" applyFont="1">
      <alignment readingOrder="0" shrinkToFit="0" vertical="center" wrapText="1"/>
    </xf>
    <xf borderId="0" fillId="0" fontId="82" numFmtId="0" xfId="0" applyAlignment="1" applyFont="1">
      <alignment horizontal="left" readingOrder="0" shrinkToFit="0" vertical="bottom" wrapText="1"/>
    </xf>
    <xf borderId="1" fillId="32" fontId="80" numFmtId="0" xfId="0" applyAlignment="1" applyBorder="1" applyFill="1" applyFont="1">
      <alignment horizontal="center" readingOrder="0"/>
    </xf>
    <xf borderId="40" fillId="32" fontId="80" numFmtId="0" xfId="0" applyAlignment="1" applyBorder="1" applyFill="1" applyFont="1">
      <alignment horizontal="center" readingOrder="0"/>
    </xf>
    <xf borderId="23" fillId="0" fontId="69" numFmtId="0" xfId="0" applyAlignment="1" applyBorder="1" applyFont="1">
      <alignment horizontal="center" readingOrder="0" vertical="center"/>
    </xf>
    <xf borderId="19" fillId="0" fontId="6" numFmtId="0" xfId="0" applyBorder="1" applyFont="1"/>
    <xf borderId="39" fillId="0" fontId="83" numFmtId="176" xfId="0" applyAlignment="1" applyBorder="1" applyFont="1" applyNumberFormat="1">
      <alignment horizontal="center" readingOrder="0"/>
    </xf>
    <xf borderId="1" fillId="0" fontId="84" numFmtId="9" xfId="0" applyAlignment="1" applyBorder="1" applyFont="1" applyNumberFormat="1">
      <alignment horizontal="center" readingOrder="0"/>
    </xf>
    <xf borderId="40" fillId="0" fontId="85" numFmtId="176" xfId="0" applyAlignment="1" applyBorder="1" applyFont="1" applyNumberFormat="1">
      <alignment horizontal="center" readingOrder="0"/>
    </xf>
    <xf borderId="19" fillId="0" fontId="6" numFmtId="0" xfId="0" applyAlignment="1" applyBorder="1" applyFont="1">
      <alignment readingOrder="0" vertical="center"/>
    </xf>
    <xf borderId="25" fillId="0" fontId="69" numFmtId="0" xfId="0" applyAlignment="1" applyBorder="1" applyFont="1">
      <alignment horizontal="center" readingOrder="0" vertical="center"/>
    </xf>
    <xf borderId="24" fillId="0" fontId="6" numFmtId="0" xfId="0" applyAlignment="1" applyBorder="1" applyFont="1">
      <alignment readingOrder="0" vertical="center"/>
    </xf>
    <xf borderId="41" fillId="34" fontId="86" numFmtId="0" xfId="0" applyAlignment="1" applyBorder="1" applyFill="1" applyFont="1">
      <alignment readingOrder="0" shrinkToFit="0" vertical="center" wrapText="1"/>
    </xf>
    <xf borderId="37" fillId="10" fontId="17" numFmtId="0" xfId="0" applyAlignment="1" applyBorder="1" applyFill="1" applyFont="1">
      <alignment horizontal="center" readingOrder="0" vertical="center"/>
    </xf>
    <xf borderId="38" fillId="10" fontId="17" numFmtId="0" xfId="0" applyAlignment="1" applyBorder="1" applyFill="1" applyFont="1">
      <alignment horizontal="center" readingOrder="0" vertical="center"/>
    </xf>
    <xf borderId="24" fillId="14" fontId="87" numFmtId="0" xfId="0" applyAlignment="1" applyBorder="1" applyFill="1" applyFont="1">
      <alignment readingOrder="0" shrinkToFit="0" vertical="center" wrapText="1"/>
    </xf>
    <xf borderId="19" fillId="0" fontId="69" numFmtId="0" xfId="0" applyAlignment="1" applyBorder="1" applyFont="1">
      <alignment horizontal="center" readingOrder="0" vertical="center"/>
    </xf>
    <xf borderId="39" fillId="0" fontId="69" numFmtId="0" xfId="0" applyAlignment="1" applyBorder="1" applyFont="1">
      <alignment horizontal="center" readingOrder="0" vertical="center"/>
    </xf>
    <xf borderId="42" fillId="0" fontId="69" numFmtId="0" xfId="0" applyAlignment="1" applyBorder="1" applyFont="1">
      <alignment horizontal="center" readingOrder="0" vertical="center"/>
    </xf>
    <xf borderId="43" fillId="0" fontId="69" numFmtId="0" xfId="0" applyAlignment="1" applyBorder="1" applyFont="1">
      <alignment horizontal="center" readingOrder="0" vertical="center"/>
    </xf>
    <xf borderId="0" fillId="0" fontId="88" numFmtId="0" xfId="0" applyAlignment="1" applyFont="1">
      <alignment readingOrder="0" vertical="center"/>
    </xf>
    <xf borderId="20" fillId="35" fontId="88" numFmtId="0" xfId="0" applyAlignment="1" applyBorder="1" applyFill="1" applyFont="1">
      <alignment readingOrder="0" vertical="center"/>
    </xf>
    <xf borderId="20" fillId="14" fontId="17" numFmtId="0" xfId="0" applyAlignment="1" applyBorder="1" applyFill="1" applyFont="1">
      <alignment horizontal="center" readingOrder="0"/>
    </xf>
    <xf borderId="32" fillId="0" fontId="65" numFmtId="0" xfId="0" applyAlignment="1" applyBorder="1" applyFont="1">
      <alignment readingOrder="0" shrinkToFit="0" vertical="center" wrapText="1"/>
    </xf>
    <xf borderId="44" fillId="0" fontId="89" numFmtId="0" xfId="0" applyAlignment="1" applyBorder="1" applyFont="1">
      <alignment horizontal="center" readingOrder="0" shrinkToFit="0" vertical="center" wrapText="1"/>
    </xf>
    <xf borderId="20" fillId="20" fontId="17" numFmtId="0" xfId="0" applyAlignment="1" applyBorder="1" applyFill="1" applyFont="1">
      <alignment horizontal="center" readingOrder="0"/>
    </xf>
    <xf borderId="45" fillId="0" fontId="90" numFmtId="0" xfId="0" applyAlignment="1" applyBorder="1" applyFont="1">
      <alignment horizontal="center" readingOrder="0" vertical="center"/>
    </xf>
    <xf borderId="44" fillId="0" fontId="7" numFmtId="0" xfId="0" applyBorder="1" applyFont="1"/>
    <xf borderId="21" fillId="0" fontId="91" numFmtId="0" xfId="0" applyAlignment="1" applyBorder="1" applyFont="1">
      <alignment readingOrder="0" vertical="center"/>
    </xf>
    <xf borderId="46" fillId="0" fontId="7" numFmtId="0" xfId="0" applyBorder="1" applyFont="1"/>
    <xf borderId="47" fillId="0" fontId="7" numFmtId="0" xfId="0" applyBorder="1" applyFont="1"/>
    <xf borderId="48" fillId="0" fontId="7" numFmtId="0" xfId="0" applyBorder="1" applyFont="1"/>
    <xf borderId="19" fillId="0" fontId="82" numFmtId="0" xfId="0" applyAlignment="1" applyBorder="1" applyFont="1">
      <alignment readingOrder="0" shrinkToFit="0" vertical="center" wrapText="1"/>
    </xf>
    <xf borderId="22" fillId="0" fontId="91" numFmtId="0" xfId="0" applyAlignment="1" applyBorder="1" applyFont="1">
      <alignment readingOrder="0" vertical="center"/>
    </xf>
    <xf borderId="20" fillId="25" fontId="17" numFmtId="0" xfId="0" applyAlignment="1" applyBorder="1" applyFill="1" applyFont="1">
      <alignment horizontal="center" readingOrder="0"/>
    </xf>
    <xf borderId="21" fillId="19" fontId="17" numFmtId="0" xfId="0" applyAlignment="1" applyBorder="1" applyFill="1" applyFont="1">
      <alignment horizontal="center" readingOrder="0"/>
    </xf>
    <xf borderId="32" fillId="0" fontId="65" numFmtId="0" xfId="0" applyAlignment="1" applyBorder="1" applyFont="1">
      <alignment readingOrder="0" vertical="center"/>
    </xf>
    <xf borderId="23" fillId="0" fontId="69" numFmtId="0" xfId="0" applyAlignment="1" applyBorder="1" applyFont="1">
      <alignment horizontal="center" readingOrder="0" shrinkToFit="0" vertical="center" wrapText="1"/>
    </xf>
    <xf borderId="8" fillId="0" fontId="18" numFmtId="0" xfId="0" applyAlignment="1" applyBorder="1" applyFont="1">
      <alignment horizontal="left" readingOrder="0" shrinkToFit="0" vertical="center" wrapText="1"/>
    </xf>
    <xf borderId="19" fillId="0" fontId="82" numFmtId="0" xfId="0" applyAlignment="1" applyBorder="1" applyFont="1">
      <alignment readingOrder="0" vertical="center"/>
    </xf>
    <xf borderId="2" fillId="12" fontId="41" numFmtId="0" xfId="0" applyAlignment="1" applyBorder="1" applyFill="1" applyFont="1">
      <alignment horizontal="center" readingOrder="0" vertical="center"/>
    </xf>
    <xf borderId="20" fillId="8" fontId="92" numFmtId="0" xfId="0" applyAlignment="1" applyBorder="1" applyFill="1" applyFont="1">
      <alignment readingOrder="0" shrinkToFit="0" vertical="center" wrapText="1"/>
    </xf>
    <xf borderId="19" fillId="0" fontId="93" numFmtId="0" xfId="0" applyAlignment="1" applyBorder="1" applyFont="1">
      <alignment readingOrder="0" shrinkToFit="0" vertical="center" wrapText="1"/>
    </xf>
    <xf borderId="0" fillId="0" fontId="18" numFmtId="0" xfId="0" applyAlignment="1" applyFont="1">
      <alignment horizontal="left" readingOrder="0" shrinkToFit="0" vertical="center" wrapText="1"/>
    </xf>
    <xf borderId="3" fillId="12" fontId="41" numFmtId="0" xfId="0" applyAlignment="1" applyBorder="1" applyFill="1" applyFont="1">
      <alignment horizontal="center" readingOrder="0" shrinkToFit="0" vertical="center" wrapText="1"/>
    </xf>
    <xf borderId="32" fillId="0" fontId="85" numFmtId="0" xfId="0" applyAlignment="1" applyBorder="1" applyFont="1">
      <alignment readingOrder="0"/>
    </xf>
    <xf borderId="21" fillId="8" fontId="6" numFmtId="0" xfId="0" applyAlignment="1" applyBorder="1" applyFill="1" applyFont="1">
      <alignment readingOrder="0" shrinkToFit="0" vertical="center" wrapText="1"/>
    </xf>
    <xf borderId="22" fillId="8" fontId="6" numFmtId="0" xfId="0" applyAlignment="1" applyBorder="1" applyFill="1" applyFont="1">
      <alignment readingOrder="0" shrinkToFit="0" vertical="center" wrapText="1"/>
    </xf>
    <xf borderId="3" fillId="12" fontId="41" numFmtId="0" xfId="0" applyAlignment="1" applyBorder="1" applyFill="1" applyFont="1">
      <alignment horizontal="center" readingOrder="0" vertical="center"/>
    </xf>
    <xf borderId="0" fillId="0" fontId="85" numFmtId="0" xfId="0" applyAlignment="1" applyFont="1">
      <alignment readingOrder="0"/>
    </xf>
    <xf borderId="8" fillId="0" fontId="18" numFmtId="0" xfId="0" applyAlignment="1" applyBorder="1" applyFont="1">
      <alignment horizontal="left" readingOrder="0" vertical="center"/>
    </xf>
    <xf borderId="19" fillId="0" fontId="82" numFmtId="0" xfId="0" applyAlignment="1" applyBorder="1" applyFont="1">
      <alignment readingOrder="0" vertical="center"/>
    </xf>
    <xf borderId="20" fillId="23" fontId="94" numFmtId="0" xfId="0" applyAlignment="1" applyBorder="1" applyFill="1" applyFont="1">
      <alignment readingOrder="0" shrinkToFit="0" vertical="center" wrapText="1"/>
    </xf>
    <xf borderId="8" fillId="30" fontId="95" numFmtId="0" xfId="0" applyAlignment="1" applyBorder="1" applyFill="1" applyFont="1">
      <alignment horizontal="center" readingOrder="0" vertical="center"/>
    </xf>
    <xf borderId="0" fillId="0" fontId="18" numFmtId="0" xfId="0" applyAlignment="1" applyFont="1">
      <alignment horizontal="left" shrinkToFit="0" vertical="center" wrapText="1"/>
    </xf>
    <xf borderId="19" fillId="0" fontId="85" numFmtId="0" xfId="0" applyAlignment="1" applyBorder="1" applyFont="1">
      <alignment readingOrder="0"/>
    </xf>
    <xf borderId="9" fillId="0" fontId="18" numFmtId="0" xfId="0" applyAlignment="1" applyBorder="1" applyFont="1">
      <alignment horizontal="left" shrinkToFit="0" vertical="center" wrapText="1"/>
    </xf>
    <xf borderId="21" fillId="23" fontId="6" numFmtId="0" xfId="0" applyAlignment="1" applyBorder="1" applyFill="1" applyFont="1">
      <alignment readingOrder="0" shrinkToFit="0" vertical="center" wrapText="1"/>
    </xf>
    <xf borderId="0" fillId="0" fontId="6" numFmtId="0" xfId="0" applyFont="1"/>
    <xf borderId="22" fillId="23" fontId="6" numFmtId="0" xfId="0" applyAlignment="1" applyBorder="1" applyFill="1" applyFont="1">
      <alignment readingOrder="0" shrinkToFit="0" vertical="center" wrapText="1"/>
    </xf>
    <xf borderId="23" fillId="0" fontId="7" numFmtId="0" xfId="0" applyBorder="1" applyFont="1"/>
    <xf borderId="9" fillId="0" fontId="18" numFmtId="0" xfId="0" applyAlignment="1" applyBorder="1" applyFont="1">
      <alignment horizontal="left" readingOrder="0" shrinkToFit="0" vertical="center" wrapText="1"/>
    </xf>
    <xf borderId="8" fillId="0" fontId="18" numFmtId="0" xfId="0" applyAlignment="1" applyBorder="1" applyFont="1">
      <alignment horizontal="left" shrinkToFit="0" vertical="center" wrapText="1"/>
    </xf>
    <xf borderId="20" fillId="10" fontId="96" numFmtId="0" xfId="0" applyAlignment="1" applyBorder="1" applyFill="1" applyFont="1">
      <alignment readingOrder="0" shrinkToFit="0" vertical="center" wrapText="1"/>
    </xf>
    <xf borderId="8" fillId="0" fontId="18" numFmtId="0" xfId="0" applyAlignment="1" applyBorder="1" applyFont="1">
      <alignment horizontal="left" vertical="center"/>
    </xf>
    <xf borderId="21" fillId="10" fontId="6" numFmtId="0" xfId="0" applyAlignment="1" applyBorder="1" applyFill="1" applyFont="1">
      <alignment readingOrder="0" shrinkToFit="0" vertical="center" wrapText="1"/>
    </xf>
    <xf borderId="19" fillId="0" fontId="97" numFmtId="0" xfId="0" applyAlignment="1" applyBorder="1" applyFont="1">
      <alignment readingOrder="0" vertical="center"/>
    </xf>
    <xf borderId="22" fillId="10" fontId="6" numFmtId="0" xfId="0" applyAlignment="1" applyBorder="1" applyFill="1" applyFont="1">
      <alignment readingOrder="0" shrinkToFit="0" vertical="center" wrapText="1"/>
    </xf>
    <xf borderId="8" fillId="0" fontId="6" numFmtId="0" xfId="0" applyAlignment="1" applyBorder="1" applyFont="1">
      <alignment readingOrder="0" vertical="center"/>
    </xf>
    <xf borderId="0" fillId="0" fontId="6" numFmtId="0" xfId="0" applyAlignment="1" applyFont="1">
      <alignment horizontal="center" readingOrder="0" shrinkToFit="0" vertical="center" wrapText="1"/>
    </xf>
    <xf borderId="0" fillId="0" fontId="98" numFmtId="0" xfId="0" applyAlignment="1" applyFont="1">
      <alignment readingOrder="0" vertical="center"/>
    </xf>
    <xf borderId="0" fillId="0" fontId="6" numFmtId="0" xfId="0" applyAlignment="1" applyFont="1">
      <alignment horizontal="center" readingOrder="0"/>
    </xf>
    <xf borderId="32" fillId="0" fontId="65" numFmtId="0" xfId="0" applyAlignment="1" applyBorder="1" applyFont="1">
      <alignment vertical="center"/>
    </xf>
    <xf borderId="0" fillId="0" fontId="18" numFmtId="0" xfId="0" applyAlignment="1" applyFont="1">
      <alignment horizontal="left" vertical="center"/>
    </xf>
    <xf borderId="20" fillId="24" fontId="99" numFmtId="0" xfId="0" applyAlignment="1" applyBorder="1" applyFill="1" applyFont="1">
      <alignment readingOrder="0" vertical="center"/>
    </xf>
    <xf borderId="48" fillId="0" fontId="85" numFmtId="0" xfId="0" applyAlignment="1" applyBorder="1" applyFont="1">
      <alignment readingOrder="0"/>
    </xf>
    <xf borderId="8" fillId="0" fontId="6" numFmtId="0" xfId="0" applyAlignment="1" applyBorder="1" applyFont="1">
      <alignment readingOrder="0"/>
    </xf>
    <xf borderId="13" fillId="0" fontId="85" numFmtId="0" xfId="0" applyAlignment="1" applyBorder="1" applyFont="1">
      <alignment readingOrder="0"/>
    </xf>
    <xf borderId="47" fillId="0" fontId="85" numFmtId="0" xfId="0" applyAlignment="1" applyBorder="1" applyFont="1">
      <alignment readingOrder="0"/>
    </xf>
    <xf borderId="0" fillId="0" fontId="100" numFmtId="0" xfId="0" applyFont="1"/>
    <xf borderId="21" fillId="24" fontId="6" numFmtId="0" xfId="0" applyAlignment="1" applyBorder="1" applyFill="1" applyFont="1">
      <alignment readingOrder="0" vertical="center"/>
    </xf>
    <xf borderId="9" fillId="0" fontId="18" numFmtId="0" xfId="0" applyAlignment="1" applyBorder="1" applyFont="1">
      <alignment horizontal="left" vertical="center"/>
    </xf>
    <xf borderId="0" fillId="0" fontId="4" numFmtId="0" xfId="0" applyAlignment="1" applyFont="1">
      <alignment horizontal="center"/>
    </xf>
    <xf borderId="36" fillId="0" fontId="18" numFmtId="0" xfId="0" applyAlignment="1" applyBorder="1" applyFont="1">
      <alignment horizontal="left" vertical="center"/>
    </xf>
    <xf borderId="32" fillId="0" fontId="6" numFmtId="0" xfId="0" applyBorder="1" applyFont="1"/>
    <xf borderId="22" fillId="24" fontId="6" numFmtId="0" xfId="0" applyAlignment="1" applyBorder="1" applyFill="1" applyFont="1">
      <alignment readingOrder="0" shrinkToFit="0" vertical="center" wrapText="1"/>
    </xf>
    <xf borderId="32" fillId="0" fontId="101" numFmtId="0" xfId="0" applyAlignment="1" applyBorder="1" applyFont="1">
      <alignment readingOrder="0"/>
    </xf>
    <xf borderId="13" fillId="0" fontId="18" numFmtId="0" xfId="0" applyAlignment="1" applyBorder="1" applyFont="1">
      <alignment horizontal="left" vertical="center"/>
    </xf>
    <xf borderId="14" fillId="0" fontId="18" numFmtId="0" xfId="0" applyAlignment="1" applyBorder="1" applyFont="1">
      <alignment horizontal="left" vertical="center"/>
    </xf>
    <xf borderId="0" fillId="0" fontId="69" numFmtId="0" xfId="0" applyFont="1"/>
    <xf borderId="2" fillId="0" fontId="6" numFmtId="0" xfId="0" applyAlignment="1" applyBorder="1" applyFont="1">
      <alignment readingOrder="0" vertical="center"/>
    </xf>
    <xf borderId="3" fillId="0" fontId="6" numFmtId="0" xfId="0" applyAlignment="1" applyBorder="1" applyFont="1">
      <alignment horizontal="center" readingOrder="0" shrinkToFit="0" vertical="center" wrapText="1"/>
    </xf>
    <xf borderId="36" fillId="0" fontId="6" numFmtId="0" xfId="0" applyBorder="1" applyFont="1"/>
    <xf borderId="0" fillId="14" fontId="102" numFmtId="0" xfId="0" applyAlignment="1" applyFill="1" applyFont="1">
      <alignment horizontal="center" readingOrder="0" vertical="center"/>
    </xf>
    <xf borderId="13" fillId="0" fontId="6" numFmtId="0" xfId="0" applyBorder="1" applyFont="1"/>
    <xf borderId="14" fillId="0" fontId="6" numFmtId="0" xfId="0" applyBorder="1" applyFont="1"/>
    <xf borderId="3" fillId="0" fontId="4" numFmtId="0" xfId="0" applyBorder="1" applyFont="1"/>
    <xf borderId="3" fillId="0" fontId="4" numFmtId="0" xfId="0" applyAlignment="1" applyBorder="1" applyFont="1">
      <alignment horizontal="center" vertical="bottom"/>
    </xf>
    <xf borderId="32" fillId="0" fontId="69" numFmtId="0" xfId="0" applyAlignment="1" applyBorder="1" applyFont="1">
      <alignment readingOrder="0" shrinkToFit="0" wrapText="1"/>
    </xf>
    <xf borderId="8" fillId="0" fontId="38" numFmtId="0" xfId="0" applyAlignment="1" applyBorder="1" applyFont="1">
      <alignment horizontal="center" readingOrder="0" vertical="center"/>
    </xf>
    <xf borderId="8" fillId="0" fontId="69" numFmtId="0" xfId="0" applyAlignment="1" applyBorder="1" applyFont="1">
      <alignment horizontal="left" readingOrder="0" shrinkToFit="0" vertical="center" wrapText="1"/>
    </xf>
    <xf borderId="0" fillId="0" fontId="103" numFmtId="0" xfId="0" applyAlignment="1" applyFont="1">
      <alignment horizontal="center" readingOrder="0"/>
    </xf>
    <xf borderId="3" fillId="0" fontId="6" numFmtId="0" xfId="0" applyAlignment="1" applyBorder="1" applyFont="1">
      <alignment horizontal="center" readingOrder="0"/>
    </xf>
    <xf borderId="33" fillId="0" fontId="6" numFmtId="0" xfId="0" applyBorder="1" applyFont="1"/>
    <xf borderId="11" fillId="0" fontId="6" numFmtId="0" xfId="0" applyBorder="1" applyFont="1"/>
    <xf borderId="24" fillId="0" fontId="6" numFmtId="0" xfId="0" applyBorder="1" applyFont="1"/>
    <xf borderId="31" fillId="0" fontId="104" numFmtId="0" xfId="0" applyAlignment="1" applyBorder="1" applyFont="1">
      <alignment horizontal="center" readingOrder="0"/>
    </xf>
    <xf borderId="39" fillId="36" fontId="80" numFmtId="0" xfId="0" applyAlignment="1" applyBorder="1" applyFill="1" applyFont="1">
      <alignment horizontal="center" readingOrder="0"/>
    </xf>
    <xf borderId="1" fillId="36" fontId="80" numFmtId="0" xfId="0" applyAlignment="1" applyBorder="1" applyFill="1" applyFont="1">
      <alignment horizontal="center" readingOrder="0"/>
    </xf>
    <xf borderId="40" fillId="36" fontId="80" numFmtId="0" xfId="0" applyAlignment="1" applyBorder="1" applyFill="1" applyFont="1">
      <alignment horizontal="center" readingOrder="0"/>
    </xf>
    <xf borderId="39" fillId="0" fontId="105" numFmtId="0" xfId="0" applyAlignment="1" applyBorder="1" applyFont="1">
      <alignment horizontal="center" readingOrder="0"/>
    </xf>
    <xf borderId="1" fillId="0" fontId="105" numFmtId="164" xfId="0" applyAlignment="1" applyBorder="1" applyFont="1" applyNumberFormat="1">
      <alignment horizontal="center" readingOrder="0"/>
    </xf>
    <xf borderId="40" fillId="0" fontId="84" numFmtId="176" xfId="0" applyAlignment="1" applyBorder="1" applyFont="1" applyNumberFormat="1">
      <alignment horizontal="center" readingOrder="0"/>
    </xf>
    <xf borderId="32" fillId="4" fontId="38" numFmtId="0" xfId="0" applyAlignment="1" applyBorder="1" applyFill="1" applyFont="1">
      <alignment readingOrder="0"/>
    </xf>
    <xf borderId="20" fillId="2" fontId="38" numFmtId="0" xfId="0" applyAlignment="1" applyBorder="1" applyFill="1" applyFont="1">
      <alignment horizontal="center" readingOrder="0"/>
    </xf>
    <xf borderId="19" fillId="0" fontId="6" numFmtId="0" xfId="0" applyAlignment="1" applyBorder="1" applyFont="1">
      <alignment readingOrder="0" shrinkToFit="0" wrapText="1"/>
    </xf>
    <xf borderId="0" fillId="0" fontId="4" numFmtId="0" xfId="0" applyAlignment="1" applyFont="1">
      <alignment vertical="bottom"/>
    </xf>
    <xf borderId="25" fillId="0" fontId="7" numFmtId="0" xfId="0" applyBorder="1" applyFont="1"/>
    <xf borderId="31" fillId="13" fontId="68" numFmtId="0" xfId="0" applyAlignment="1" applyBorder="1" applyFill="1" applyFont="1">
      <alignment horizontal="center" readingOrder="0" vertical="center"/>
    </xf>
    <xf borderId="0" fillId="0" fontId="6" numFmtId="0" xfId="0" applyAlignment="1" applyFont="1">
      <alignment horizontal="center" readingOrder="0" shrinkToFit="0" wrapText="1"/>
    </xf>
    <xf borderId="0" fillId="0" fontId="106" numFmtId="0" xfId="0" applyAlignment="1" applyFont="1">
      <alignment vertical="top"/>
    </xf>
    <xf borderId="0" fillId="0" fontId="4" numFmtId="0" xfId="0" applyAlignment="1" applyFont="1">
      <alignment horizontal="center" vertical="bottom"/>
    </xf>
    <xf borderId="20" fillId="0" fontId="38" numFmtId="0" xfId="0" applyAlignment="1" applyBorder="1" applyFont="1">
      <alignment horizontal="center" readingOrder="0" vertical="center"/>
    </xf>
    <xf borderId="31" fillId="4" fontId="107" numFmtId="0" xfId="0" applyAlignment="1" applyBorder="1" applyFill="1" applyFont="1">
      <alignment readingOrder="0" shrinkToFit="0" wrapText="1"/>
    </xf>
    <xf borderId="20" fillId="0" fontId="108" numFmtId="0" xfId="0" applyAlignment="1" applyBorder="1" applyFont="1">
      <alignment horizontal="left" readingOrder="0" shrinkToFit="0" vertical="center" wrapText="1"/>
    </xf>
    <xf borderId="32" fillId="0" fontId="109" numFmtId="0" xfId="0" applyAlignment="1" applyBorder="1" applyFont="1">
      <alignment readingOrder="0" shrinkToFit="0" wrapText="1"/>
    </xf>
    <xf borderId="32" fillId="0" fontId="18" numFmtId="0" xfId="0" applyAlignment="1" applyBorder="1" applyFont="1">
      <alignment horizontal="center" readingOrder="0" shrinkToFit="0" vertical="center" wrapText="1"/>
    </xf>
    <xf borderId="32" fillId="0" fontId="108" numFmtId="0" xfId="0" applyAlignment="1" applyBorder="1" applyFont="1">
      <alignment readingOrder="0" shrinkToFit="0" wrapText="1"/>
    </xf>
    <xf borderId="33" fillId="0" fontId="108" numFmtId="0" xfId="0" applyAlignment="1" applyBorder="1" applyFont="1">
      <alignment readingOrder="0" shrinkToFit="0" wrapText="1"/>
    </xf>
    <xf borderId="31" fillId="0" fontId="110" numFmtId="0" xfId="0" applyAlignment="1" applyBorder="1" applyFont="1">
      <alignment horizontal="center" readingOrder="0"/>
    </xf>
    <xf borderId="39" fillId="35" fontId="80" numFmtId="0" xfId="0" applyAlignment="1" applyBorder="1" applyFill="1" applyFont="1">
      <alignment horizontal="center" readingOrder="0"/>
    </xf>
    <xf borderId="1" fillId="35" fontId="80" numFmtId="0" xfId="0" applyAlignment="1" applyBorder="1" applyFill="1" applyFont="1">
      <alignment horizontal="center" readingOrder="0"/>
    </xf>
    <xf borderId="19" fillId="0" fontId="111" numFmtId="0" xfId="0" applyAlignment="1" applyBorder="1" applyFont="1">
      <alignment readingOrder="0" vertical="center"/>
    </xf>
    <xf borderId="40" fillId="35" fontId="80" numFmtId="0" xfId="0" applyAlignment="1" applyBorder="1" applyFill="1" applyFont="1">
      <alignment horizontal="center" readingOrder="0"/>
    </xf>
    <xf borderId="39" fillId="0" fontId="38" numFmtId="0" xfId="0" applyAlignment="1" applyBorder="1" applyFont="1">
      <alignment readingOrder="0" vertical="center"/>
    </xf>
    <xf borderId="1" fillId="0" fontId="69" numFmtId="0" xfId="0" applyAlignment="1" applyBorder="1" applyFont="1">
      <alignment horizontal="center" readingOrder="0" vertical="center"/>
    </xf>
    <xf borderId="1" fillId="0" fontId="69" numFmtId="0" xfId="0" applyAlignment="1" applyBorder="1" applyFont="1">
      <alignment readingOrder="0" shrinkToFit="0" vertical="center" wrapText="1"/>
    </xf>
    <xf borderId="33" fillId="0" fontId="82" numFmtId="0" xfId="0" applyAlignment="1" applyBorder="1" applyFont="1">
      <alignment vertical="center"/>
    </xf>
    <xf borderId="40" fillId="0" fontId="69" numFmtId="0" xfId="0" applyAlignment="1" applyBorder="1" applyFont="1">
      <alignment readingOrder="0" shrinkToFit="0" vertical="center" wrapText="1"/>
    </xf>
    <xf borderId="24" fillId="0" fontId="112" numFmtId="0" xfId="0" applyAlignment="1" applyBorder="1" applyFont="1">
      <alignment readingOrder="0" vertical="center"/>
    </xf>
    <xf borderId="40" fillId="0" fontId="69" numFmtId="0" xfId="0" applyAlignment="1" applyBorder="1" applyFont="1">
      <alignment shrinkToFit="0" vertical="center" wrapText="1"/>
    </xf>
    <xf borderId="49" fillId="0" fontId="38" numFmtId="0" xfId="0" applyAlignment="1" applyBorder="1" applyFont="1">
      <alignment readingOrder="0" vertical="center"/>
    </xf>
    <xf borderId="50" fillId="0" fontId="69" numFmtId="0" xfId="0" applyAlignment="1" applyBorder="1" applyFont="1">
      <alignment horizontal="center" readingOrder="0" vertical="center"/>
    </xf>
    <xf borderId="50" fillId="0" fontId="69" numFmtId="0" xfId="0" applyAlignment="1" applyBorder="1" applyFont="1">
      <alignment readingOrder="0" shrinkToFit="0" vertical="center" wrapText="1"/>
    </xf>
    <xf borderId="36" fillId="0" fontId="6" numFmtId="0" xfId="0" applyAlignment="1" applyBorder="1" applyFont="1">
      <alignment readingOrder="0"/>
    </xf>
    <xf borderId="20" fillId="37" fontId="113" numFmtId="0" xfId="0" applyAlignment="1" applyBorder="1" applyFill="1" applyFont="1">
      <alignment horizontal="center" readingOrder="0" vertical="center"/>
    </xf>
    <xf borderId="51" fillId="0" fontId="69" numFmtId="0" xfId="0" applyAlignment="1" applyBorder="1" applyFont="1">
      <alignment readingOrder="0" shrinkToFit="0" vertical="center" wrapText="1"/>
    </xf>
    <xf borderId="13" fillId="0" fontId="6" numFmtId="0" xfId="0" applyAlignment="1" applyBorder="1" applyFont="1">
      <alignment horizontal="center" readingOrder="0"/>
    </xf>
    <xf borderId="13" fillId="0" fontId="6" numFmtId="0" xfId="0" applyAlignment="1" applyBorder="1" applyFont="1">
      <alignment readingOrder="0"/>
    </xf>
    <xf borderId="0" fillId="0" fontId="114" numFmtId="0" xfId="0" applyAlignment="1" applyFont="1">
      <alignment readingOrder="0" vertical="center"/>
    </xf>
    <xf borderId="20" fillId="0" fontId="69" numFmtId="0" xfId="0" applyAlignment="1" applyBorder="1" applyFont="1">
      <alignment horizontal="left" readingOrder="0" shrinkToFit="0" vertical="center" wrapText="1"/>
    </xf>
    <xf borderId="2" fillId="0" fontId="115" numFmtId="0" xfId="0" applyAlignment="1" applyBorder="1" applyFont="1">
      <alignment horizontal="center" readingOrder="0" vertical="center"/>
    </xf>
    <xf borderId="8" fillId="0" fontId="116" numFmtId="0" xfId="0" applyAlignment="1" applyBorder="1" applyFont="1">
      <alignment horizontal="center" readingOrder="0" vertical="center"/>
    </xf>
    <xf borderId="9" fillId="0" fontId="116" numFmtId="0" xfId="0" applyAlignment="1" applyBorder="1" applyFont="1">
      <alignment horizontal="center" readingOrder="0" shrinkToFit="0" vertical="center" wrapText="1"/>
    </xf>
    <xf borderId="8" fillId="0" fontId="117" numFmtId="0" xfId="0" applyAlignment="1" applyBorder="1" applyFont="1">
      <alignment readingOrder="0" vertical="center"/>
    </xf>
    <xf borderId="9" fillId="0" fontId="6" numFmtId="0" xfId="0" applyAlignment="1" applyBorder="1" applyFont="1">
      <alignment readingOrder="0" shrinkToFit="0" wrapText="1"/>
    </xf>
    <xf borderId="0" fillId="0" fontId="118" numFmtId="0" xfId="0" applyAlignment="1" applyFont="1">
      <alignment horizontal="center" readingOrder="0" vertical="center"/>
    </xf>
    <xf borderId="20" fillId="12" fontId="17" numFmtId="0" xfId="0" applyAlignment="1" applyBorder="1" applyFill="1" applyFont="1">
      <alignment horizontal="center" readingOrder="0"/>
    </xf>
    <xf borderId="8" fillId="0" fontId="38" numFmtId="0" xfId="0" applyAlignment="1" applyBorder="1" applyFont="1">
      <alignment readingOrder="0" vertical="center"/>
    </xf>
    <xf borderId="0" fillId="0" fontId="6" numFmtId="0" xfId="0" applyAlignment="1" applyFont="1">
      <alignment readingOrder="0" vertical="center"/>
    </xf>
    <xf borderId="0" fillId="11" fontId="17" numFmtId="0" xfId="0" applyAlignment="1" applyFill="1" applyFont="1">
      <alignment horizontal="center" vertical="center"/>
    </xf>
    <xf borderId="20" fillId="0" fontId="69" numFmtId="0" xfId="0" applyAlignment="1" applyBorder="1" applyFont="1">
      <alignment horizontal="left" readingOrder="0" shrinkToFit="0" vertical="top" wrapText="1"/>
    </xf>
    <xf borderId="36" fillId="0" fontId="38" numFmtId="0" xfId="0" applyAlignment="1" applyBorder="1" applyFont="1">
      <alignment readingOrder="0" vertical="center"/>
    </xf>
    <xf borderId="14" fillId="0" fontId="6" numFmtId="0" xfId="0" applyAlignment="1" applyBorder="1" applyFont="1">
      <alignment readingOrder="0" shrinkToFit="0" wrapText="1"/>
    </xf>
    <xf borderId="0" fillId="0" fontId="6" numFmtId="0" xfId="0" applyAlignment="1" applyFont="1">
      <alignment readingOrder="0" shrinkToFit="0" vertical="center" wrapText="1"/>
    </xf>
    <xf borderId="0" fillId="0" fontId="119" numFmtId="0" xfId="0" applyAlignment="1" applyFont="1">
      <alignment readingOrder="0" shrinkToFit="0" vertical="center" wrapText="0"/>
    </xf>
    <xf borderId="20" fillId="38" fontId="120" numFmtId="0" xfId="0" applyAlignment="1" applyBorder="1" applyFill="1" applyFont="1">
      <alignment horizontal="center" readingOrder="0" vertical="center"/>
    </xf>
    <xf borderId="20" fillId="0" fontId="69" numFmtId="0" xfId="0" applyAlignment="1" applyBorder="1" applyFont="1">
      <alignment horizontal="left" readingOrder="0" shrinkToFit="0" vertical="center" wrapText="1"/>
    </xf>
    <xf borderId="20" fillId="39" fontId="38" numFmtId="0" xfId="0" applyAlignment="1" applyBorder="1" applyFill="1" applyFont="1">
      <alignment horizontal="center" readingOrder="0" vertical="center"/>
    </xf>
    <xf borderId="2" fillId="40" fontId="120" numFmtId="0" xfId="0" applyAlignment="1" applyBorder="1" applyFill="1" applyFont="1">
      <alignment horizontal="center" readingOrder="0" vertical="center"/>
    </xf>
    <xf borderId="8" fillId="12" fontId="38" numFmtId="0" xfId="0" applyAlignment="1" applyBorder="1" applyFill="1" applyFont="1">
      <alignment horizontal="center" readingOrder="0"/>
    </xf>
    <xf borderId="0" fillId="12" fontId="38" numFmtId="0" xfId="0" applyAlignment="1" applyFill="1" applyFont="1">
      <alignment horizontal="center" readingOrder="0"/>
    </xf>
    <xf borderId="8" fillId="12" fontId="69" numFmtId="0" xfId="0" applyAlignment="1" applyBorder="1" applyFill="1" applyFont="1">
      <alignment horizontal="center" readingOrder="0" vertical="center"/>
    </xf>
    <xf borderId="0" fillId="0" fontId="69" numFmtId="0" xfId="0" applyAlignment="1" applyFont="1">
      <alignment readingOrder="0" shrinkToFit="0" vertical="center" wrapText="1"/>
    </xf>
    <xf borderId="0" fillId="0" fontId="108" numFmtId="0" xfId="0" applyAlignment="1" applyFont="1">
      <alignment readingOrder="0" shrinkToFit="0" vertical="center" wrapText="1"/>
    </xf>
    <xf borderId="0" fillId="0" fontId="108" numFmtId="0" xfId="0" applyAlignment="1" applyFont="1">
      <alignment readingOrder="0" shrinkToFit="0" wrapText="1"/>
    </xf>
    <xf borderId="36" fillId="12" fontId="69" numFmtId="0" xfId="0" applyAlignment="1" applyBorder="1" applyFill="1" applyFont="1">
      <alignment horizontal="center" readingOrder="0" vertical="center"/>
    </xf>
    <xf borderId="13" fillId="0" fontId="69" numFmtId="0" xfId="0" applyAlignment="1" applyBorder="1" applyFont="1">
      <alignment readingOrder="0" shrinkToFit="0" vertical="center" wrapText="1"/>
    </xf>
    <xf borderId="13" fillId="0" fontId="108" numFmtId="0" xfId="0" applyAlignment="1" applyBorder="1" applyFont="1">
      <alignment horizontal="left" readingOrder="0" shrinkToFit="0" vertical="center" wrapText="1"/>
    </xf>
    <xf borderId="2" fillId="31" fontId="5" numFmtId="0" xfId="0" applyAlignment="1" applyBorder="1" applyFill="1" applyFont="1">
      <alignment horizontal="center" readingOrder="0" vertical="center"/>
    </xf>
    <xf borderId="36" fillId="0" fontId="69" numFmtId="0" xfId="0" applyAlignment="1" applyBorder="1" applyFont="1">
      <alignment readingOrder="0" shrinkToFit="0" wrapText="1"/>
    </xf>
    <xf borderId="0" fillId="15" fontId="121" numFmtId="0" xfId="0" applyAlignment="1" applyFill="1" applyFont="1">
      <alignment readingOrder="0"/>
    </xf>
    <xf borderId="0" fillId="41" fontId="5" numFmtId="0" xfId="0" applyAlignment="1" applyFill="1" applyFont="1">
      <alignment horizontal="center" readingOrder="0" vertical="center"/>
    </xf>
    <xf borderId="0" fillId="0" fontId="122" numFmtId="0" xfId="0" applyAlignment="1" applyFont="1">
      <alignment horizontal="left" readingOrder="0" vertical="top"/>
    </xf>
    <xf borderId="0" fillId="0" fontId="123" numFmtId="0" xfId="0" applyAlignment="1" applyFont="1">
      <alignment horizontal="center" readingOrder="0"/>
    </xf>
    <xf borderId="0" fillId="0" fontId="124" numFmtId="0" xfId="0" applyAlignment="1" applyFont="1">
      <alignment horizontal="left" readingOrder="0" vertical="top"/>
    </xf>
    <xf borderId="0" fillId="0" fontId="41" numFmtId="0" xfId="0" applyAlignment="1" applyFont="1">
      <alignment horizontal="center" readingOrder="0"/>
    </xf>
    <xf borderId="0" fillId="0" fontId="125" numFmtId="0" xfId="0" applyAlignment="1" applyFont="1">
      <alignment readingOrder="0"/>
    </xf>
    <xf borderId="0" fillId="0" fontId="4" numFmtId="0" xfId="0" applyAlignment="1" applyFont="1">
      <alignment horizontal="left" readingOrder="0" vertical="top"/>
    </xf>
    <xf borderId="0" fillId="0" fontId="126" numFmtId="0" xfId="0" applyAlignment="1" applyFont="1">
      <alignment horizontal="center" readingOrder="0" vertical="bottom"/>
    </xf>
    <xf borderId="2" fillId="0" fontId="55" numFmtId="0" xfId="0" applyAlignment="1" applyBorder="1" applyFont="1">
      <alignment horizontal="center" readingOrder="0"/>
    </xf>
    <xf borderId="0" fillId="18" fontId="126" numFmtId="0" xfId="0" applyAlignment="1" applyFill="1" applyFont="1">
      <alignment horizontal="center" readingOrder="0" vertical="top"/>
    </xf>
    <xf borderId="0" fillId="0" fontId="127" numFmtId="0" xfId="0" applyAlignment="1" applyFont="1">
      <alignment readingOrder="0"/>
    </xf>
    <xf borderId="0" fillId="18" fontId="126" numFmtId="0" xfId="0" applyAlignment="1" applyFill="1" applyFont="1">
      <alignment horizontal="center" readingOrder="0" vertical="bottom"/>
    </xf>
    <xf borderId="0" fillId="18" fontId="123" numFmtId="0" xfId="0" applyAlignment="1" applyFill="1" applyFont="1">
      <alignment horizontal="center" readingOrder="0"/>
    </xf>
    <xf borderId="8" fillId="13" fontId="41" numFmtId="0" xfId="0" applyAlignment="1" applyBorder="1" applyFill="1" applyFont="1">
      <alignment horizontal="center" readingOrder="0"/>
    </xf>
    <xf borderId="0" fillId="0" fontId="4" numFmtId="166" xfId="0" applyAlignment="1" applyFont="1" applyNumberFormat="1">
      <alignment horizontal="center" vertical="top"/>
    </xf>
    <xf borderId="0" fillId="0" fontId="128" numFmtId="0" xfId="0" applyAlignment="1" applyFont="1">
      <alignment horizontal="right" readingOrder="0"/>
    </xf>
    <xf borderId="0" fillId="4" fontId="4" numFmtId="164" xfId="0" applyAlignment="1" applyFill="1" applyFont="1" applyNumberFormat="1">
      <alignment horizontal="right" vertical="top"/>
    </xf>
    <xf borderId="0" fillId="0" fontId="6" numFmtId="0" xfId="0" applyAlignment="1" applyFont="1">
      <alignment horizontal="center" readingOrder="0"/>
    </xf>
    <xf borderId="8" fillId="2" fontId="41" numFmtId="0" xfId="0" applyAlignment="1" applyBorder="1" applyFill="1" applyFont="1">
      <alignment horizontal="center" readingOrder="0"/>
    </xf>
    <xf borderId="0" fillId="0" fontId="129" numFmtId="0" xfId="0" applyAlignment="1" applyFont="1">
      <alignment horizontal="right"/>
    </xf>
    <xf borderId="0" fillId="0" fontId="18" numFmtId="0" xfId="0" applyAlignment="1" applyFont="1">
      <alignment readingOrder="0" shrinkToFit="0" wrapText="1"/>
    </xf>
    <xf borderId="8" fillId="4" fontId="41" numFmtId="0" xfId="0" applyAlignment="1" applyBorder="1" applyFill="1" applyFont="1">
      <alignment horizontal="center" readingOrder="0"/>
    </xf>
    <xf borderId="0" fillId="0" fontId="130" numFmtId="0" xfId="0" applyAlignment="1" applyFont="1">
      <alignment horizontal="right"/>
    </xf>
    <xf borderId="36" fillId="3" fontId="41" numFmtId="0" xfId="0" applyAlignment="1" applyBorder="1" applyFill="1" applyFont="1">
      <alignment horizontal="center" readingOrder="0"/>
    </xf>
    <xf borderId="13" fillId="0" fontId="131" numFmtId="0" xfId="0" applyAlignment="1" applyBorder="1" applyFont="1">
      <alignment horizontal="right"/>
    </xf>
    <xf borderId="20" fillId="0" fontId="132" numFmtId="0" xfId="0" applyAlignment="1" applyBorder="1" applyFont="1">
      <alignment horizontal="center" readingOrder="0" vertical="center"/>
    </xf>
    <xf borderId="8" fillId="0" fontId="6" numFmtId="0" xfId="0" applyBorder="1" applyFont="1"/>
    <xf borderId="9" fillId="0" fontId="6" numFmtId="0" xfId="0" applyAlignment="1" applyBorder="1" applyFont="1">
      <alignment readingOrder="0"/>
    </xf>
    <xf borderId="2" fillId="8" fontId="18" numFmtId="0" xfId="0" applyAlignment="1" applyBorder="1" applyFill="1" applyFont="1">
      <alignment horizontal="center" readingOrder="0" shrinkToFit="0" vertical="center" wrapText="1"/>
    </xf>
    <xf borderId="2" fillId="10" fontId="18" numFmtId="0" xfId="0" applyAlignment="1" applyBorder="1" applyFill="1" applyFont="1">
      <alignment horizontal="center" readingOrder="0" shrinkToFit="0" vertical="center" wrapText="1"/>
    </xf>
    <xf borderId="2" fillId="14" fontId="18" numFmtId="0" xfId="0" applyAlignment="1" applyBorder="1" applyFill="1" applyFont="1">
      <alignment horizontal="center" readingOrder="0" shrinkToFit="0" vertical="center" wrapText="1"/>
    </xf>
    <xf borderId="0" fillId="0" fontId="41" numFmtId="0" xfId="0" applyAlignment="1" applyFont="1">
      <alignment readingOrder="0" shrinkToFit="0" wrapText="1"/>
    </xf>
    <xf borderId="2" fillId="7" fontId="18" numFmtId="0" xfId="0" applyAlignment="1" applyBorder="1" applyFill="1" applyFont="1">
      <alignment horizontal="center" readingOrder="0" shrinkToFit="0" vertical="center" wrapText="1"/>
    </xf>
    <xf borderId="0" fillId="0" fontId="6" numFmtId="0" xfId="0" applyAlignment="1" applyFont="1">
      <alignment readingOrder="0" shrinkToFit="0" wrapText="1"/>
    </xf>
    <xf borderId="0" fillId="0" fontId="4" numFmtId="0" xfId="0" applyAlignment="1" applyFont="1">
      <alignment readingOrder="0" vertical="top"/>
    </xf>
    <xf borderId="3" fillId="0" fontId="6" numFmtId="0" xfId="0" applyBorder="1" applyFont="1"/>
    <xf borderId="3" fillId="0" fontId="133" numFmtId="0" xfId="0" applyAlignment="1" applyBorder="1" applyFont="1">
      <alignment horizontal="center" readingOrder="0" vertical="center"/>
    </xf>
    <xf borderId="0" fillId="0" fontId="4" numFmtId="0" xfId="0" applyAlignment="1" applyFont="1">
      <alignment horizontal="center" vertical="bottom"/>
    </xf>
    <xf borderId="0" fillId="0" fontId="6" numFmtId="0" xfId="0" applyAlignment="1" applyFont="1">
      <alignment horizontal="center" vertical="center"/>
    </xf>
    <xf borderId="2" fillId="0" fontId="17" numFmtId="0" xfId="0" applyAlignment="1" applyBorder="1" applyFont="1">
      <alignment horizontal="center" readingOrder="0" vertical="center"/>
    </xf>
    <xf borderId="0" fillId="0" fontId="17" numFmtId="0" xfId="0" applyAlignment="1" applyFont="1">
      <alignment readingOrder="0" vertical="center"/>
    </xf>
    <xf borderId="9" fillId="0" fontId="6" numFmtId="0" xfId="0" applyBorder="1" applyFont="1"/>
    <xf borderId="0" fillId="6" fontId="6" numFmtId="0" xfId="0" applyFill="1" applyFont="1"/>
    <xf borderId="0" fillId="3" fontId="6" numFmtId="0" xfId="0" applyFill="1" applyFont="1"/>
    <xf borderId="0" fillId="13" fontId="6" numFmtId="0" xfId="0" applyFill="1" applyFont="1"/>
    <xf borderId="0" fillId="0" fontId="134" numFmtId="0" xfId="0" applyAlignment="1" applyFont="1">
      <alignment readingOrder="0"/>
    </xf>
    <xf borderId="0" fillId="4" fontId="4" numFmtId="177" xfId="0" applyAlignment="1" applyFill="1" applyFont="1" applyNumberFormat="1">
      <alignment horizontal="right" vertical="top"/>
    </xf>
    <xf borderId="0" fillId="4" fontId="4" numFmtId="168" xfId="0" applyAlignment="1" applyFill="1" applyFont="1" applyNumberFormat="1">
      <alignment horizontal="right" vertical="top"/>
    </xf>
    <xf borderId="2" fillId="0" fontId="38" numFmtId="0" xfId="0" applyAlignment="1" applyBorder="1" applyFont="1">
      <alignment horizontal="center" readingOrder="0" vertical="center"/>
    </xf>
    <xf borderId="8" fillId="0" fontId="135" numFmtId="0" xfId="0" applyAlignment="1" applyBorder="1" applyFont="1">
      <alignment readingOrder="0"/>
    </xf>
    <xf borderId="0" fillId="4" fontId="4" numFmtId="168" xfId="0" applyAlignment="1" applyFill="1" applyFont="1" applyNumberFormat="1">
      <alignment horizontal="right" readingOrder="0" vertical="top"/>
    </xf>
    <xf borderId="0" fillId="4" fontId="4" numFmtId="164" xfId="0" applyAlignment="1" applyFill="1" applyFont="1" applyNumberFormat="1">
      <alignment horizontal="right" readingOrder="0" vertical="top"/>
    </xf>
    <xf borderId="31" fillId="3" fontId="5" numFmtId="0" xfId="0" applyAlignment="1" applyBorder="1" applyFill="1" applyFont="1">
      <alignment horizontal="center" readingOrder="0" vertical="center"/>
    </xf>
    <xf borderId="31" fillId="42" fontId="136" numFmtId="0" xfId="0" applyAlignment="1" applyBorder="1" applyFill="1" applyFont="1">
      <alignment horizontal="center" readingOrder="0" vertical="center"/>
    </xf>
    <xf borderId="31" fillId="43" fontId="137" numFmtId="0" xfId="0" applyAlignment="1" applyBorder="1" applyFill="1" applyFont="1">
      <alignment horizontal="center" readingOrder="0" vertical="center"/>
    </xf>
    <xf borderId="32" fillId="0" fontId="5" numFmtId="0" xfId="0" applyAlignment="1" applyBorder="1" applyFont="1">
      <alignment horizontal="center" readingOrder="0" vertical="center"/>
    </xf>
    <xf borderId="19" fillId="0" fontId="5" numFmtId="0" xfId="0" applyAlignment="1" applyBorder="1" applyFont="1">
      <alignment horizontal="center" readingOrder="0" vertical="center"/>
    </xf>
    <xf borderId="0" fillId="0" fontId="2" numFmtId="0" xfId="0" applyAlignment="1" applyFont="1">
      <alignment horizontal="left" vertical="bottom"/>
    </xf>
    <xf borderId="0" fillId="0" fontId="2" numFmtId="0" xfId="0" applyAlignment="1" applyFont="1">
      <alignment horizontal="center" vertical="bottom"/>
    </xf>
    <xf borderId="0" fillId="0" fontId="4" numFmtId="167" xfId="0" applyAlignment="1" applyFont="1" applyNumberFormat="1">
      <alignment vertical="bottom"/>
    </xf>
    <xf borderId="0" fillId="0" fontId="2" numFmtId="167" xfId="0" applyAlignment="1" applyFont="1" applyNumberFormat="1">
      <alignment horizontal="center" vertical="bottom"/>
    </xf>
    <xf borderId="0" fillId="0" fontId="2" numFmtId="169" xfId="0" applyAlignment="1" applyFont="1" applyNumberFormat="1">
      <alignment horizontal="center" vertical="bottom"/>
    </xf>
    <xf borderId="0" fillId="0" fontId="2" numFmtId="178" xfId="0" applyAlignment="1" applyFont="1" applyNumberFormat="1">
      <alignment horizontal="center" vertical="bottom"/>
    </xf>
    <xf borderId="0" fillId="0" fontId="4" numFmtId="166" xfId="0" applyAlignment="1" applyFont="1" applyNumberFormat="1">
      <alignment horizontal="left" vertical="top"/>
    </xf>
    <xf borderId="0" fillId="0" fontId="4" numFmtId="166" xfId="0" applyAlignment="1" applyFont="1" applyNumberFormat="1">
      <alignment horizontal="right" vertical="top"/>
    </xf>
    <xf borderId="0" fillId="10" fontId="4" numFmtId="167" xfId="0" applyAlignment="1" applyFill="1" applyFont="1" applyNumberFormat="1">
      <alignment vertical="bottom"/>
    </xf>
    <xf borderId="0" fillId="10" fontId="4" numFmtId="167" xfId="0" applyAlignment="1" applyFill="1" applyFont="1" applyNumberFormat="1">
      <alignment horizontal="right" vertical="bottom"/>
    </xf>
    <xf borderId="0" fillId="8" fontId="4" numFmtId="169" xfId="0" applyAlignment="1" applyFill="1" applyFont="1" applyNumberFormat="1">
      <alignment horizontal="right" vertical="bottom"/>
    </xf>
    <xf borderId="0" fillId="11" fontId="4" numFmtId="170" xfId="0" applyAlignment="1" applyFill="1" applyFont="1" applyNumberFormat="1">
      <alignment horizontal="right" vertical="bottom"/>
    </xf>
    <xf borderId="0" fillId="12" fontId="4" numFmtId="179" xfId="0" applyAlignment="1" applyFill="1" applyFont="1" applyNumberFormat="1">
      <alignment horizontal="right" vertical="bottom"/>
    </xf>
    <xf borderId="0" fillId="0" fontId="4" numFmtId="180" xfId="0" applyAlignment="1" applyFont="1" applyNumberFormat="1">
      <alignment horizontal="right" vertical="bottom"/>
    </xf>
    <xf borderId="0" fillId="0" fontId="4" numFmtId="178" xfId="0" applyAlignment="1" applyFont="1" applyNumberFormat="1">
      <alignment horizontal="right" vertical="bottom"/>
    </xf>
    <xf borderId="0" fillId="0" fontId="4" numFmtId="172" xfId="0" applyAlignment="1" applyFont="1" applyNumberFormat="1">
      <alignment horizontal="right" vertical="bottom"/>
    </xf>
    <xf borderId="0" fillId="0" fontId="4" numFmtId="181" xfId="0" applyAlignment="1" applyFont="1" applyNumberFormat="1">
      <alignment horizontal="right" vertical="bottom"/>
    </xf>
    <xf borderId="0" fillId="0" fontId="4" numFmtId="172" xfId="0" applyAlignment="1" applyFont="1" applyNumberFormat="1">
      <alignment horizontal="right" vertical="bottom"/>
    </xf>
    <xf borderId="0" fillId="0" fontId="4" numFmtId="172" xfId="0" applyAlignment="1" applyFont="1" applyNumberFormat="1">
      <alignment horizontal="center" vertical="bottom"/>
    </xf>
    <xf borderId="2" fillId="6" fontId="15" numFmtId="0" xfId="0" applyAlignment="1" applyBorder="1" applyFill="1" applyFont="1">
      <alignment horizontal="center" readingOrder="0"/>
    </xf>
    <xf borderId="0" fillId="0" fontId="4" numFmtId="178" xfId="0" applyAlignment="1" applyFont="1" applyNumberFormat="1">
      <alignment vertical="bottom"/>
    </xf>
    <xf borderId="0" fillId="0" fontId="4" numFmtId="172" xfId="0" applyAlignment="1" applyFont="1" applyNumberFormat="1">
      <alignment vertical="bottom"/>
    </xf>
    <xf borderId="0" fillId="44" fontId="138" numFmtId="0" xfId="0" applyAlignment="1" applyFill="1" applyFont="1">
      <alignment horizontal="center" readingOrder="0" vertical="center"/>
    </xf>
    <xf borderId="2" fillId="4" fontId="38" numFmtId="0" xfId="0" applyAlignment="1" applyBorder="1" applyFill="1" applyFont="1">
      <alignment readingOrder="0"/>
    </xf>
    <xf borderId="4" fillId="4" fontId="38" numFmtId="0" xfId="0" applyAlignment="1" applyBorder="1" applyFill="1" applyFont="1">
      <alignment readingOrder="0"/>
    </xf>
    <xf borderId="8" fillId="28" fontId="38" numFmtId="0" xfId="0" applyAlignment="1" applyBorder="1" applyFill="1" applyFont="1">
      <alignment readingOrder="0" vertical="center"/>
    </xf>
    <xf borderId="9" fillId="0" fontId="69" numFmtId="0" xfId="0" applyAlignment="1" applyBorder="1" applyFont="1">
      <alignment readingOrder="0" shrinkToFit="0" wrapText="1"/>
    </xf>
    <xf borderId="36" fillId="28" fontId="38" numFmtId="0" xfId="0" applyAlignment="1" applyBorder="1" applyFill="1" applyFont="1">
      <alignment readingOrder="0" vertical="center"/>
    </xf>
    <xf borderId="14" fillId="0" fontId="69" numFmtId="0" xfId="0" applyAlignment="1" applyBorder="1" applyFont="1">
      <alignment readingOrder="0" shrinkToFit="0" wrapText="1"/>
    </xf>
    <xf borderId="2" fillId="13" fontId="15" numFmtId="0" xfId="0" applyAlignment="1" applyBorder="1" applyFill="1" applyFont="1">
      <alignment horizontal="center" readingOrder="0" vertical="center"/>
    </xf>
    <xf borderId="8" fillId="45" fontId="18" numFmtId="0" xfId="0" applyAlignment="1" applyBorder="1" applyFill="1" applyFont="1">
      <alignment readingOrder="0"/>
    </xf>
    <xf borderId="52" fillId="4" fontId="17" numFmtId="0" xfId="0" applyAlignment="1" applyBorder="1" applyFill="1" applyFont="1">
      <alignment horizontal="left" readingOrder="0" vertical="center"/>
    </xf>
    <xf borderId="9" fillId="4" fontId="17" numFmtId="0" xfId="0" applyAlignment="1" applyBorder="1" applyFill="1" applyFont="1">
      <alignment horizontal="left" readingOrder="0" vertical="center"/>
    </xf>
    <xf borderId="52" fillId="0" fontId="18" numFmtId="0" xfId="0" applyAlignment="1" applyBorder="1" applyFont="1">
      <alignment readingOrder="0"/>
    </xf>
    <xf borderId="9" fillId="0" fontId="18" numFmtId="0" xfId="0" applyAlignment="1" applyBorder="1" applyFont="1">
      <alignment readingOrder="0"/>
    </xf>
    <xf borderId="53" fillId="0" fontId="18" numFmtId="0" xfId="0" applyAlignment="1" applyBorder="1" applyFont="1">
      <alignment readingOrder="0"/>
    </xf>
    <xf borderId="14" fillId="0" fontId="18" numFmtId="0" xfId="0" applyAlignment="1" applyBorder="1" applyFont="1">
      <alignment readingOrder="0"/>
    </xf>
    <xf borderId="2" fillId="18" fontId="15" numFmtId="0" xfId="0" applyAlignment="1" applyBorder="1" applyFill="1" applyFont="1">
      <alignment horizontal="center" readingOrder="0" vertical="center"/>
    </xf>
    <xf borderId="0" fillId="37" fontId="138" numFmtId="0" xfId="0" applyAlignment="1" applyFill="1" applyFont="1">
      <alignment horizontal="center" readingOrder="0" vertical="center"/>
    </xf>
    <xf borderId="0" fillId="21" fontId="17" numFmtId="0" xfId="0" applyAlignment="1" applyFill="1" applyFont="1">
      <alignment horizontal="center" readingOrder="0" vertical="center"/>
    </xf>
    <xf borderId="0" fillId="12" fontId="17" numFmtId="0" xfId="0" applyAlignment="1" applyFill="1" applyFont="1">
      <alignment horizontal="center" readingOrder="0" vertical="center"/>
    </xf>
    <xf borderId="0" fillId="10" fontId="17" numFmtId="0" xfId="0" applyAlignment="1" applyFill="1" applyFont="1">
      <alignment horizontal="center" readingOrder="0" vertical="center"/>
    </xf>
    <xf borderId="0" fillId="34" fontId="38" numFmtId="0" xfId="0" applyAlignment="1" applyFill="1" applyFont="1">
      <alignment horizontal="center" readingOrder="0"/>
    </xf>
    <xf borderId="0" fillId="0" fontId="82" numFmtId="0" xfId="0" applyAlignment="1" applyFont="1">
      <alignment horizontal="left" readingOrder="0" shrinkToFit="0" vertical="center" wrapText="1"/>
    </xf>
    <xf borderId="0" fillId="0" fontId="139" numFmtId="0" xfId="0" applyAlignment="1" applyFont="1">
      <alignment horizontal="center" readingOrder="0" vertical="center"/>
    </xf>
    <xf borderId="2" fillId="31" fontId="41" numFmtId="0" xfId="0" applyAlignment="1" applyBorder="1" applyFill="1" applyFont="1">
      <alignment readingOrder="0"/>
    </xf>
    <xf borderId="4" fillId="31" fontId="41" numFmtId="0" xfId="0" applyBorder="1" applyFill="1" applyFont="1"/>
    <xf borderId="0" fillId="3" fontId="41" numFmtId="0" xfId="0" applyAlignment="1" applyFill="1" applyFont="1">
      <alignment readingOrder="0"/>
    </xf>
    <xf borderId="2" fillId="3" fontId="41" numFmtId="0" xfId="0" applyAlignment="1" applyBorder="1" applyFill="1" applyFont="1">
      <alignment readingOrder="0"/>
    </xf>
    <xf borderId="4" fillId="3" fontId="6" numFmtId="0" xfId="0" applyBorder="1" applyFill="1" applyFont="1"/>
    <xf borderId="8" fillId="0" fontId="41" numFmtId="0" xfId="0" applyAlignment="1" applyBorder="1" applyFont="1">
      <alignment readingOrder="0"/>
    </xf>
    <xf borderId="9" fillId="0" fontId="41" numFmtId="0" xfId="0" applyAlignment="1" applyBorder="1" applyFont="1">
      <alignment readingOrder="0"/>
    </xf>
    <xf borderId="9" fillId="0" fontId="6" numFmtId="164" xfId="0" applyAlignment="1" applyBorder="1" applyFont="1" applyNumberFormat="1">
      <alignment readingOrder="0"/>
    </xf>
    <xf borderId="0" fillId="0" fontId="6" numFmtId="164" xfId="0" applyAlignment="1" applyFont="1" applyNumberFormat="1">
      <alignment readingOrder="0"/>
    </xf>
    <xf borderId="0" fillId="0" fontId="140" numFmtId="0" xfId="0" applyAlignment="1" applyFont="1">
      <alignment horizontal="center" readingOrder="0" vertical="center"/>
    </xf>
    <xf borderId="36" fillId="0" fontId="41" numFmtId="0" xfId="0" applyAlignment="1" applyBorder="1" applyFont="1">
      <alignment readingOrder="0"/>
    </xf>
    <xf borderId="14" fillId="0" fontId="41" numFmtId="164" xfId="0" applyBorder="1" applyFont="1" applyNumberFormat="1"/>
    <xf borderId="0" fillId="31" fontId="5" numFmtId="0" xfId="0" applyAlignment="1" applyFill="1" applyFont="1">
      <alignment horizontal="center" readingOrder="0" vertical="center"/>
    </xf>
    <xf borderId="0" fillId="0" fontId="41" numFmtId="164" xfId="0" applyFont="1" applyNumberFormat="1"/>
    <xf borderId="0" fillId="0" fontId="41" numFmtId="0" xfId="0" applyFont="1"/>
    <xf borderId="36" fillId="0" fontId="41" numFmtId="0" xfId="0" applyBorder="1" applyFont="1"/>
    <xf borderId="0" fillId="0" fontId="6" numFmtId="164" xfId="0" applyFont="1" applyNumberFormat="1"/>
    <xf borderId="0" fillId="0" fontId="6" numFmtId="10" xfId="0" applyFont="1" applyNumberFormat="1"/>
    <xf borderId="0" fillId="0" fontId="141" numFmtId="0" xfId="0" applyAlignment="1" applyFont="1">
      <alignment horizontal="center"/>
    </xf>
    <xf borderId="0" fillId="0" fontId="38" numFmtId="0" xfId="0" applyAlignment="1" applyFont="1">
      <alignment horizontal="center" readingOrder="0" vertical="center"/>
    </xf>
    <xf borderId="54" fillId="46" fontId="15" numFmtId="0" xfId="0" applyAlignment="1" applyBorder="1" applyFill="1" applyFont="1">
      <alignment horizontal="left" shrinkToFit="0" vertical="top" wrapText="1"/>
    </xf>
    <xf borderId="0" fillId="0" fontId="142" numFmtId="0" xfId="0" applyAlignment="1" applyFont="1">
      <alignment horizontal="left" shrinkToFit="0" vertical="top" wrapText="1"/>
    </xf>
    <xf borderId="54" fillId="47" fontId="41" numFmtId="0" xfId="0" applyAlignment="1" applyBorder="1" applyFill="1" applyFont="1">
      <alignment horizontal="left" shrinkToFit="0" vertical="top" wrapText="1"/>
    </xf>
    <xf borderId="0" fillId="0" fontId="4" numFmtId="182" xfId="0" applyAlignment="1" applyFont="1" applyNumberFormat="1">
      <alignment horizontal="right" vertical="bottom"/>
    </xf>
    <xf borderId="0" fillId="0" fontId="4" numFmtId="183" xfId="0" applyAlignment="1" applyFont="1" applyNumberFormat="1">
      <alignment horizontal="right" vertical="bottom"/>
    </xf>
    <xf borderId="54" fillId="46" fontId="95" numFmtId="0" xfId="0" applyAlignment="1" applyBorder="1" applyFill="1" applyFont="1">
      <alignment horizontal="center" vertical="center"/>
    </xf>
    <xf borderId="54" fillId="46" fontId="95" numFmtId="49" xfId="0" applyAlignment="1" applyBorder="1" applyFill="1" applyFont="1" applyNumberFormat="1">
      <alignment horizontal="center" vertical="center"/>
    </xf>
    <xf borderId="55" fillId="0" fontId="142" numFmtId="0" xfId="0" applyAlignment="1" applyBorder="1" applyFont="1">
      <alignment horizontal="center" vertical="center"/>
    </xf>
    <xf borderId="55" fillId="0" fontId="142" numFmtId="49" xfId="0" applyAlignment="1" applyBorder="1" applyFont="1" applyNumberFormat="1">
      <alignment horizontal="left" shrinkToFit="0" vertical="top" wrapText="1"/>
    </xf>
    <xf borderId="55" fillId="0" fontId="142" numFmtId="0" xfId="0" applyAlignment="1" applyBorder="1" applyFont="1">
      <alignment horizontal="left" shrinkToFit="0" vertical="top" wrapText="1"/>
    </xf>
    <xf borderId="0" fillId="15" fontId="143" numFmtId="49" xfId="0" applyAlignment="1" applyFill="1" applyFont="1" applyNumberFormat="1">
      <alignment horizontal="left" readingOrder="0"/>
    </xf>
    <xf borderId="0" fillId="0" fontId="4" numFmtId="0" xfId="0" applyAlignment="1" applyFont="1">
      <alignment horizontal="left" vertical="bottom"/>
    </xf>
    <xf borderId="54" fillId="10" fontId="41" numFmtId="0" xfId="0" applyBorder="1" applyFill="1" applyFont="1"/>
    <xf borderId="0" fillId="0" fontId="4" numFmtId="166" xfId="0" applyAlignment="1" applyFont="1" applyNumberFormat="1">
      <alignment horizontal="right" readingOrder="0" vertical="top"/>
    </xf>
    <xf borderId="0" fillId="12" fontId="4" numFmtId="181" xfId="0" applyAlignment="1" applyFill="1" applyFont="1" applyNumberFormat="1">
      <alignment horizontal="right" vertical="bottom"/>
    </xf>
    <xf borderId="0" fillId="0" fontId="4" numFmtId="167" xfId="0" applyAlignment="1" applyFont="1" applyNumberFormat="1">
      <alignment horizontal="right" vertical="bottom"/>
    </xf>
    <xf borderId="0" fillId="0" fontId="4" numFmtId="184" xfId="0" applyAlignment="1" applyFont="1" applyNumberFormat="1">
      <alignment horizontal="right" vertical="bottom"/>
    </xf>
    <xf borderId="0" fillId="12" fontId="4" numFmtId="181" xfId="0" applyAlignment="1" applyFill="1" applyFont="1" applyNumberFormat="1">
      <alignment horizontal="right" readingOrder="0" vertical="bottom"/>
    </xf>
    <xf borderId="0" fillId="11" fontId="4" numFmtId="170" xfId="0" applyAlignment="1" applyFill="1" applyFont="1" applyNumberFormat="1">
      <alignment horizontal="right" readingOrder="0" vertical="bottom"/>
    </xf>
    <xf borderId="0" fillId="12" fontId="4" numFmtId="179" xfId="0" applyAlignment="1" applyFill="1" applyFont="1" applyNumberFormat="1">
      <alignment horizontal="right" readingOrder="0" vertical="bottom"/>
    </xf>
    <xf borderId="0" fillId="11" fontId="4" numFmtId="170" xfId="0" applyAlignment="1" applyFill="1" applyFont="1" applyNumberFormat="1">
      <alignment vertical="bottom"/>
    </xf>
    <xf borderId="0" fillId="12" fontId="4" numFmtId="179" xfId="0" applyAlignment="1" applyFill="1" applyFont="1" applyNumberFormat="1">
      <alignment vertical="bottom"/>
    </xf>
    <xf borderId="0" fillId="8" fontId="4" numFmtId="169" xfId="0" applyAlignment="1" applyFill="1" applyFont="1" applyNumberFormat="1">
      <alignment vertical="bottom"/>
    </xf>
    <xf borderId="0" fillId="0" fontId="6" numFmtId="0" xfId="0" applyAlignment="1" applyFont="1">
      <alignment horizontal="left" readingOrder="0"/>
    </xf>
    <xf borderId="0" fillId="13" fontId="144" numFmtId="0" xfId="0" applyAlignment="1" applyFill="1" applyFont="1">
      <alignment horizontal="center" readingOrder="0"/>
    </xf>
    <xf borderId="0" fillId="40" fontId="144" numFmtId="0" xfId="0" applyAlignment="1" applyFill="1" applyFont="1">
      <alignment horizontal="center" readingOrder="0"/>
    </xf>
    <xf borderId="0" fillId="48" fontId="144"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077f67e2-c9da-4595-8db6-02f6d1d7918a}">
    <Anchor>
      <Comment id="{ff368e28-19d2-4e09-99bc-7602127fd8f6}"/>
    </Anchor>
    <History>
      <Event time="2022-08-16T18:36:53.00" id="{ce49dd40-c3b8-43e9-b494-26e6eee2efc5}">
        <Attribution userId="placeholder@email.com" userName="Deleted account" userProvider="google-sheets"/>
        <Anchor>
          <Comment id="{ff368e28-19d2-4e09-99bc-7602127fd8f6}"/>
        </Anchor>
        <Create/>
      </Event>
      <Event time="2022-08-16T18:36:53.00" id="{b9563bf8-1cb4-43d9-aa3e-11bf57b7d476}">
        <Attribution userId="placeholder@email.com" userName="Deleted account" userProvider="google-sheets"/>
        <Anchor>
          <Comment id="{ff368e28-19d2-4e09-99bc-7602127fd8f6}"/>
        </Anchor>
        <Assign userId="jh@tellwellpublishing.com" userName="jh@tellwellpublishing.com" userProvider="google-sheets"/>
      </Event>
    </History>
  </Task>
  <Task id="{79ae904f-995b-452e-a5a5-e24931d1e133}">
    <Anchor>
      <Comment id="{26915aef-71f6-459b-bf2f-06406a0e56d9}"/>
    </Anchor>
    <History>
      <Event time="2022-08-16T18:28:07.00" id="{476e6fa8-3deb-494c-9dcf-b45100ee1fdd}">
        <Attribution userId="placeholder@email.com" userName="Deleted account" userProvider="google-sheets"/>
        <Anchor>
          <Comment id="{26915aef-71f6-459b-bf2f-06406a0e56d9}"/>
        </Anchor>
        <Create/>
      </Event>
      <Event time="2022-08-16T18:28:07.00" id="{35971502-36f7-4053-b324-a14aec3c7144}">
        <Attribution userId="placeholder@email.com" userName="Deleted account" userProvider="google-sheets"/>
        <Anchor>
          <Comment id="{26915aef-71f6-459b-bf2f-06406a0e56d9}"/>
        </Anchor>
        <Assign userId="jh@tellwellpublishing.com" userName="jh@tellwellpublishing.com" userProvider="google-sheets"/>
      </Event>
    </History>
  </Task>
  <Task id="{29ca17f0-30de-4be5-a55b-5739db5148f9}">
    <Anchor>
      <Comment id="{bed39ccc-e4cb-42c1-88d5-27e532b54009}"/>
    </Anchor>
    <History>
      <Event time="2022-08-16T18:31:38.00" id="{ac5a0b54-e244-4878-8917-56303a008ba4}">
        <Attribution userId="placeholder@email.com" userName="Deleted account" userProvider="google-sheets"/>
        <Anchor>
          <Comment id="{bed39ccc-e4cb-42c1-88d5-27e532b54009}"/>
        </Anchor>
        <Create/>
      </Event>
      <Event time="2022-08-16T18:31:38.00" id="{714077b4-fd19-4843-a009-309b8f069b04}">
        <Attribution userId="placeholder@email.com" userName="Deleted account" userProvider="google-sheets"/>
        <Anchor>
          <Comment id="{bed39ccc-e4cb-42c1-88d5-27e532b54009}"/>
        </Anchor>
        <Assign userId="jh@tellwellpublishing.com" userName="jh@tellwellpublishing.com" userProvider="google-sheets"/>
      </Event>
    </History>
  </Task>
</Tasks>
</file>

<file path=xl/documenttasks/documenttask2.xml><?xml version="1.0" encoding="utf-8"?>
<Tasks xmlns="http://schemas.microsoft.com/office/tasks/2019/documenttasks">
  <Task id="{26695648-17a6-424f-9261-dd0b26182f4a}">
    <Anchor>
      <Comment id="{cee2e1ab-4616-401b-9059-a2f21ec1f210}"/>
    </Anchor>
    <History>
      <Event time="2022-08-16T18:58:22.00" id="{e8021a21-e1dd-4d6c-a396-59ab85f8aa57}">
        <Attribution userId="placeholder@email.com" userName="Deleted account" userProvider="google-sheets"/>
        <Anchor>
          <Comment id="{cee2e1ab-4616-401b-9059-a2f21ec1f210}"/>
        </Anchor>
        <Create/>
      </Event>
      <Event time="2022-08-16T18:58:22.00" id="{a4e3516c-c612-4301-939a-e99708a6b74e}">
        <Attribution userId="placeholder@email.com" userName="Deleted account" userProvider="google-sheets"/>
        <Anchor>
          <Comment id="{cee2e1ab-4616-401b-9059-a2f21ec1f210}"/>
        </Anchor>
        <Assign userId="jh@tellwellpublishing.com" userName="jh@tellwellpublishing.com" userProvider="google-sheets"/>
      </Event>
    </History>
  </Task>
</Tasks>
</file>

<file path=xl/documenttasks/documenttask3.xml><?xml version="1.0" encoding="utf-8"?>
<Tasks xmlns="http://schemas.microsoft.com/office/tasks/2019/documenttasks">
  <Task id="{d11f23a5-d499-43ec-991b-d0fc044eb1cb}">
    <Anchor>
      <Comment id="{7d79aa93-a7ce-4eba-9017-af26a58ef56b}"/>
    </Anchor>
    <History>
      <Event time="2022-08-16T18:46:49.00" id="{c62d3b5b-78e3-4411-8e42-ee4873978193}">
        <Attribution userId="placeholder@email.com" userName="Deleted account" userProvider="google-sheets"/>
        <Anchor>
          <Comment id="{7d79aa93-a7ce-4eba-9017-af26a58ef56b}"/>
        </Anchor>
        <Create/>
      </Event>
      <Event time="2022-08-16T18:46:49.00" id="{c8f24f59-581e-49d9-ac0e-4a4bb3455d20}">
        <Attribution userId="placeholder@email.com" userName="Deleted account" userProvider="google-sheets"/>
        <Anchor>
          <Comment id="{7d79aa93-a7ce-4eba-9017-af26a58ef56b}"/>
        </Anchor>
        <Assign userId="jh@tellwellpublishing.com" userName="jh@tellwellpublishing.com" userProvider="google-sheets"/>
      </Event>
    </History>
  </Task>
  <Task id="{c8963555-bf69-43bc-ba27-21a8b677f9cd}">
    <Anchor>
      <Comment id="{cb7a3d67-d798-4e27-ba58-f34a075e38f3}"/>
    </Anchor>
    <History>
      <Event time="2022-08-16T18:49:34.00" id="{b975a2c7-7733-4195-babb-ee9de97ddfd2}">
        <Attribution userId="placeholder@email.com" userName="Deleted account" userProvider="google-sheets"/>
        <Anchor>
          <Comment id="{cb7a3d67-d798-4e27-ba58-f34a075e38f3}"/>
        </Anchor>
        <Create/>
      </Event>
      <Event time="2022-08-16T18:49:34.00" id="{117c49c3-8ea5-4fa9-a963-7f6605ab84be}">
        <Attribution userId="placeholder@email.com" userName="Deleted account" userProvider="google-sheets"/>
        <Anchor>
          <Comment id="{cb7a3d67-d798-4e27-ba58-f34a075e38f3}"/>
        </Anchor>
        <Assign userId="jh@tellwellpublishing.com" userName="jh@tellwellpublishing.com" userProvider="google-sheets"/>
      </Event>
    </History>
  </Task>
  <Task id="{194da311-be22-4eb7-8acc-6067ae008114}">
    <Anchor>
      <Comment id="{2acfb400-bf86-4a19-a554-a93e22b19f7f}"/>
    </Anchor>
    <History>
      <Event time="2022-08-16T18:43:47.00" id="{7b4c48f0-abc3-44ca-92b0-cf2301955c1b}">
        <Attribution userId="placeholder@email.com" userName="Deleted account" userProvider="google-sheets"/>
        <Anchor>
          <Comment id="{2acfb400-bf86-4a19-a554-a93e22b19f7f}"/>
        </Anchor>
        <Create/>
      </Event>
      <Event time="2022-08-16T18:43:47.00" id="{35a0a940-179a-4f62-8dbf-96594b9f4209}">
        <Attribution userId="placeholder@email.com" userName="Deleted account" userProvider="google-sheets"/>
        <Anchor>
          <Comment id="{2acfb400-bf86-4a19-a554-a93e22b19f7f}"/>
        </Anchor>
        <Assign userId="jh@tellwellpublishing.com" userName="jh@tellwellpublishing.com" userProvider="google-sheets"/>
      </Event>
    </History>
  </Task>
  <Task id="{6e3422be-dcf7-4bf7-8899-be3c6a7f3a2e}">
    <Anchor>
      <Comment id="{79a68aa2-c453-4a5c-9b40-148ded9ed947}"/>
    </Anchor>
    <History>
      <Event time="2025-10-10T20:47:12.00" id="{7b316e1e-5398-4a0d-974f-4d3f0de24eb1}">
        <Attribution userId="placeholder@email.com" userName="Simon Page" userProvider="google-sheets"/>
        <Anchor>
          <Comment id="{79a68aa2-c453-4a5c-9b40-148ded9ed947}"/>
        </Anchor>
        <Create/>
      </Event>
      <Event time="2025-10-10T20:47:12.00" id="{3da40b5b-71b4-49b5-8acb-80914855cd1a}">
        <Attribution userId="placeholder@email.com" userName="Simon Page" userProvider="google-sheets"/>
        <Anchor>
          <Comment id="{79a68aa2-c453-4a5c-9b40-148ded9ed947}"/>
        </Anchor>
        <Assign userId="jh@tellwellpublishing.com" userName="jh@tellwellpublishing.com" userProvider="google-sheets"/>
      </Event>
    </History>
  </Task>
  <Task id="{8d94cfe6-51d7-4839-a3ef-2926fdfb28de}">
    <Anchor>
      <Comment id="{d55e1b43-e930-4662-942e-ef33c899d34c}"/>
    </Anchor>
    <History>
      <Event time="2025-10-10T20:46:33.00" id="{3860c539-b2d1-45df-a071-979216746341}">
        <Attribution userId="placeholder@email.com" userName="Simon Page" userProvider="google-sheets"/>
        <Anchor>
          <Comment id="{d55e1b43-e930-4662-942e-ef33c899d34c}"/>
        </Anchor>
        <Create/>
      </Event>
      <Event time="2025-10-10T20:46:33.00" id="{6a5f5f3d-8109-4fd8-aa9b-843530bc8524}">
        <Attribution userId="placeholder@email.com" userName="Simon Page" userProvider="google-sheets"/>
        <Anchor>
          <Comment id="{d55e1b43-e930-4662-942e-ef33c899d34c}"/>
        </Anchor>
        <Assign userId="jh@tellwellpublishing.com" userName="jh@tellwellpublishing.com" userProvider="google-sheets"/>
      </Event>
    </History>
  </Task>
  <Task id="{cff280f2-2017-468a-b1b4-99750b00e182}">
    <Anchor>
      <Comment id="{75152766-3ef0-4cf5-8ee1-7960f3381f49}"/>
    </Anchor>
    <History>
      <Event time="2022-08-16T18:45:07.00" id="{ecb16e76-1482-439d-ab6b-922590a78fdc}">
        <Attribution userId="placeholder@email.com" userName="Deleted account" userProvider="google-sheets"/>
        <Anchor>
          <Comment id="{75152766-3ef0-4cf5-8ee1-7960f3381f49}"/>
        </Anchor>
        <Create/>
      </Event>
      <Event time="2022-08-16T18:45:07.00" id="{c008c11b-8875-4a31-9e9c-ff518561163b}">
        <Attribution userId="placeholder@email.com" userName="Deleted account" userProvider="google-sheets"/>
        <Anchor>
          <Comment id="{75152766-3ef0-4cf5-8ee1-7960f3381f49}"/>
        </Anchor>
        <Assign userId="jh@tellwellpublishing.com" userName="jh@tellwellpublishing.com" userProvider="google-sheets"/>
      </Event>
    </History>
  </Task>
</Tasks>
</file>

<file path=xl/documenttasks/documenttask4.xml><?xml version="1.0" encoding="utf-8"?>
<Tasks xmlns="http://schemas.microsoft.com/office/tasks/2019/documenttasks">
  <Task id="{487164e6-d429-44f3-aeaf-320b4abe0d1f}">
    <Anchor>
      <Comment id="{bfa7cac1-e243-4d4d-a658-d98a79e23388}"/>
    </Anchor>
    <History>
      <Event time="2022-08-16T19:25:49.00" id="{7ded32b1-686d-4127-ac58-b9ecdb2e4c9b}">
        <Attribution userId="placeholder@email.com" userName="Deleted account" userProvider="google-sheets"/>
        <Anchor>
          <Comment id="{bfa7cac1-e243-4d4d-a658-d98a79e23388}"/>
        </Anchor>
        <Create/>
      </Event>
      <Event time="2022-08-16T19:25:49.00" id="{382fe25f-623d-4873-9f71-9cd41dd63bcb}">
        <Attribution userId="placeholder@email.com" userName="Deleted account" userProvider="google-sheets"/>
        <Anchor>
          <Comment id="{bfa7cac1-e243-4d4d-a658-d98a79e23388}"/>
        </Anchor>
        <Assign userId="jh@tellwellpublishing.com" userName="jh@tellwellpublishing.com" userProvider="google-sheets"/>
      </Event>
    </History>
  </Task>
  <Task id="{1279bdb1-3727-4342-abfa-c1af7d048020}">
    <Anchor>
      <Comment id="{ac5bc401-ac6f-491d-a8bf-5d54e5241ff9}"/>
    </Anchor>
    <History>
      <Event time="2022-08-16T19:27:45.00" id="{b0ebe8d6-3006-4dec-8e78-f223cc303234}">
        <Attribution userId="placeholder@email.com" userName="Deleted account" userProvider="google-sheets"/>
        <Anchor>
          <Comment id="{ac5bc401-ac6f-491d-a8bf-5d54e5241ff9}"/>
        </Anchor>
        <Create/>
      </Event>
      <Event time="2022-08-16T19:27:45.00" id="{3637371c-68e9-482d-b5b6-48b9864f6c96}">
        <Attribution userId="placeholder@email.com" userName="Deleted account" userProvider="google-sheets"/>
        <Anchor>
          <Comment id="{ac5bc401-ac6f-491d-a8bf-5d54e5241ff9}"/>
        </Anchor>
        <Assign userId="jh@tellwellpublishing.com" userName="jh@tellwellpublishing.com" userProvider="google-sheets"/>
      </Event>
    </History>
  </Task>
</Tasks>
</file>

<file path=xl/documenttasks/documenttask5.xml><?xml version="1.0" encoding="utf-8"?>
<Tasks xmlns="http://schemas.microsoft.com/office/tasks/2019/documenttasks">
  <Task id="{6d64ee17-e7c0-42ed-b23a-cc6682f6f377}">
    <Anchor>
      <Comment id="{be137ff4-7547-4591-8a1e-30dc233f41f3}"/>
    </Anchor>
    <History>
      <Event time="2022-08-16T18:54:10.00" id="{eccfbb20-db1d-43a9-95b8-2dee774cbfcb}">
        <Attribution userId="placeholder@email.com" userName="Deleted account" userProvider="google-sheets"/>
        <Anchor>
          <Comment id="{be137ff4-7547-4591-8a1e-30dc233f41f3}"/>
        </Anchor>
        <Create/>
      </Event>
      <Event time="2022-08-16T18:54:10.00" id="{6765d701-8201-405f-8b5f-53437b982810}">
        <Attribution userId="placeholder@email.com" userName="Deleted account" userProvider="google-sheets"/>
        <Anchor>
          <Comment id="{be137ff4-7547-4591-8a1e-30dc233f41f3}"/>
        </Anchor>
        <Assign userId="jh@tellwellpublishing.com" userName="jh@tellwellpublishing.com" userProvider="google-sheets"/>
      </Event>
    </History>
  </Task>
  <Task id="{293493f8-d064-40bb-8a8d-6f816b7eb5d0}">
    <Anchor>
      <Comment id="{b52152c3-55a9-4274-8218-789f773c063e}"/>
    </Anchor>
    <History>
      <Event time="2022-08-16T18:56:15.00" id="{c91b7a86-a35b-4902-b579-fde1bb6dd8f6}">
        <Attribution userId="placeholder@email.com" userName="Deleted account" userProvider="google-sheets"/>
        <Anchor>
          <Comment id="{b52152c3-55a9-4274-8218-789f773c063e}"/>
        </Anchor>
        <Create/>
      </Event>
      <Event time="2022-08-16T18:56:15.00" id="{65771a2a-d79c-4116-823e-199f97d3867a}">
        <Attribution userId="placeholder@email.com" userName="Deleted account" userProvider="google-sheets"/>
        <Anchor>
          <Comment id="{b52152c3-55a9-4274-8218-789f773c063e}"/>
        </Anchor>
        <Assign userId="jh@tellwellpublishing.com" userName="jh@tellwellpublishing.com" userProvider="google-sheets"/>
      </Event>
    </History>
  </Task>
</Tasks>
</file>

<file path=xl/documenttasks/documenttask6.xml><?xml version="1.0" encoding="utf-8"?>
<Tasks xmlns="http://schemas.microsoft.com/office/tasks/2019/documenttasks">
  <Task id="{6f72d9db-13be-414f-9cdc-87d18f9d5dcd}">
    <Anchor>
      <Comment id="{04264d65-5ed2-48f6-bd0b-6d16b1262151}"/>
    </Anchor>
    <History>
      <Event time="2022-08-16T20:01:52.00" id="{6099f097-1e2d-4ebf-b7b3-0096366e819d}">
        <Attribution userId="placeholder@email.com" userName="Deleted account" userProvider="google-sheets"/>
        <Anchor>
          <Comment id="{04264d65-5ed2-48f6-bd0b-6d16b1262151}"/>
        </Anchor>
        <Create/>
      </Event>
      <Event time="2022-08-16T20:01:52.00" id="{5192a6f4-2f21-461e-b82c-9e6b4c7a95ca}">
        <Attribution userId="placeholder@email.com" userName="Deleted account" userProvider="google-sheets"/>
        <Anchor>
          <Comment id="{04264d65-5ed2-48f6-bd0b-6d16b1262151}"/>
        </Anchor>
        <Assign userId="jh@tellwellpublishing.com" userName="jh@tellwellpublishing.com" userProvider="google-sheets"/>
      </Event>
    </History>
  </Task>
  <Task id="{6c0e4bca-78ca-4282-a4f3-e68cf2607308}">
    <Anchor>
      <Comment id="{b60406c8-c1b5-4d6a-94e4-0c3e570ea032}"/>
    </Anchor>
    <History>
      <Event time="2022-08-16T20:02:39.00" id="{eef5c930-f2b7-4a0e-ae49-c48fcaca45b1}">
        <Attribution userId="placeholder@email.com" userName="Deleted account" userProvider="google-sheets"/>
        <Anchor>
          <Comment id="{b60406c8-c1b5-4d6a-94e4-0c3e570ea032}"/>
        </Anchor>
        <Create/>
      </Event>
      <Event time="2022-08-16T20:02:39.00" id="{ce7ffe17-b1da-4ebf-a8c3-20d9275d3116}">
        <Attribution userId="placeholder@email.com" userName="Deleted account" userProvider="google-sheets"/>
        <Anchor>
          <Comment id="{b60406c8-c1b5-4d6a-94e4-0c3e570ea032}"/>
        </Anchor>
        <Assign userId="jh@tellwellpublishing.com" userName="jh@tellwellpublishing.com" userProvider="google-sheets"/>
      </Event>
    </History>
  </Task>
</Task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457200</xdr:colOff>
      <xdr:row>43</xdr:row>
      <xdr:rowOff>38100</xdr:rowOff>
    </xdr:from>
    <xdr:ext cx="2457450" cy="6076950"/>
    <xdr:grpSp>
      <xdr:nvGrpSpPr>
        <xdr:cNvPr id="2" name="Shape 2" title="Drawing"/>
        <xdr:cNvGrpSpPr/>
      </xdr:nvGrpSpPr>
      <xdr:grpSpPr>
        <a:xfrm>
          <a:off x="450750" y="70200"/>
          <a:ext cx="2102700" cy="5246400"/>
          <a:chOff x="450750" y="70200"/>
          <a:chExt cx="2102700" cy="5246400"/>
        </a:xfrm>
      </xdr:grpSpPr>
      <xdr:sp>
        <xdr:nvSpPr>
          <xdr:cNvPr id="3" name="Shape 3"/>
          <xdr:cNvSpPr/>
        </xdr:nvSpPr>
        <xdr:spPr>
          <a:xfrm>
            <a:off x="450750" y="105300"/>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ALBERTA</a:t>
            </a:r>
            <a:endParaRPr b="1" sz="900">
              <a:solidFill>
                <a:srgbClr val="FFFFFF"/>
              </a:solidFill>
            </a:endParaRPr>
          </a:p>
        </xdr:txBody>
      </xdr:sp>
      <xdr:sp>
        <xdr:nvSpPr>
          <xdr:cNvPr id="4" name="Shape 4"/>
          <xdr:cNvSpPr/>
        </xdr:nvSpPr>
        <xdr:spPr>
          <a:xfrm>
            <a:off x="450750" y="509153"/>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BRITISH COLUMBIA</a:t>
            </a:r>
            <a:endParaRPr b="1" sz="900">
              <a:solidFill>
                <a:srgbClr val="FFFFFF"/>
              </a:solidFill>
            </a:endParaRPr>
          </a:p>
        </xdr:txBody>
      </xdr:sp>
      <xdr:sp>
        <xdr:nvSpPr>
          <xdr:cNvPr id="5" name="Shape 5"/>
          <xdr:cNvSpPr/>
        </xdr:nvSpPr>
        <xdr:spPr>
          <a:xfrm>
            <a:off x="450750" y="913006"/>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MANITOBA</a:t>
            </a:r>
            <a:endParaRPr b="1" sz="900">
              <a:solidFill>
                <a:srgbClr val="FFFFFF"/>
              </a:solidFill>
            </a:endParaRPr>
          </a:p>
        </xdr:txBody>
      </xdr:sp>
      <xdr:sp>
        <xdr:nvSpPr>
          <xdr:cNvPr id="6" name="Shape 6"/>
          <xdr:cNvSpPr/>
        </xdr:nvSpPr>
        <xdr:spPr>
          <a:xfrm>
            <a:off x="450750" y="1316858"/>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NEW BRUNSWICK</a:t>
            </a:r>
            <a:endParaRPr b="1" sz="900">
              <a:solidFill>
                <a:srgbClr val="FFFFFF"/>
              </a:solidFill>
            </a:endParaRPr>
          </a:p>
        </xdr:txBody>
      </xdr:sp>
      <xdr:sp>
        <xdr:nvSpPr>
          <xdr:cNvPr id="7" name="Shape 7"/>
          <xdr:cNvSpPr/>
        </xdr:nvSpPr>
        <xdr:spPr>
          <a:xfrm>
            <a:off x="450750" y="1720711"/>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NFLD AND LABRADOR</a:t>
            </a:r>
            <a:endParaRPr b="1" sz="900">
              <a:solidFill>
                <a:srgbClr val="FFFFFF"/>
              </a:solidFill>
            </a:endParaRPr>
          </a:p>
        </xdr:txBody>
      </xdr:sp>
      <xdr:sp>
        <xdr:nvSpPr>
          <xdr:cNvPr id="8" name="Shape 8"/>
          <xdr:cNvSpPr/>
        </xdr:nvSpPr>
        <xdr:spPr>
          <a:xfrm>
            <a:off x="450750" y="2124564"/>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NORTHWEST TERRITORIES</a:t>
            </a:r>
            <a:endParaRPr b="1" sz="900">
              <a:solidFill>
                <a:srgbClr val="FFFFFF"/>
              </a:solidFill>
            </a:endParaRPr>
          </a:p>
        </xdr:txBody>
      </xdr:sp>
      <xdr:sp>
        <xdr:nvSpPr>
          <xdr:cNvPr id="9" name="Shape 9"/>
          <xdr:cNvSpPr/>
        </xdr:nvSpPr>
        <xdr:spPr>
          <a:xfrm>
            <a:off x="450750" y="2528442"/>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NOVA SCOTIA</a:t>
            </a:r>
            <a:endParaRPr b="1" sz="900">
              <a:solidFill>
                <a:srgbClr val="FFFFFF"/>
              </a:solidFill>
            </a:endParaRPr>
          </a:p>
        </xdr:txBody>
      </xdr:sp>
      <xdr:sp>
        <xdr:nvSpPr>
          <xdr:cNvPr id="10" name="Shape 10"/>
          <xdr:cNvSpPr/>
        </xdr:nvSpPr>
        <xdr:spPr>
          <a:xfrm>
            <a:off x="450750" y="2932295"/>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NUNAVUT</a:t>
            </a:r>
            <a:endParaRPr b="1" sz="900">
              <a:solidFill>
                <a:srgbClr val="FFFFFF"/>
              </a:solidFill>
            </a:endParaRPr>
          </a:p>
        </xdr:txBody>
      </xdr:sp>
      <xdr:sp>
        <xdr:nvSpPr>
          <xdr:cNvPr id="11" name="Shape 11"/>
          <xdr:cNvSpPr/>
        </xdr:nvSpPr>
        <xdr:spPr>
          <a:xfrm>
            <a:off x="450750" y="3336148"/>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ONTARIO</a:t>
            </a:r>
            <a:endParaRPr b="1" sz="900">
              <a:solidFill>
                <a:srgbClr val="FFFFFF"/>
              </a:solidFill>
            </a:endParaRPr>
          </a:p>
        </xdr:txBody>
      </xdr:sp>
      <xdr:sp>
        <xdr:nvSpPr>
          <xdr:cNvPr id="12" name="Shape 12"/>
          <xdr:cNvSpPr/>
        </xdr:nvSpPr>
        <xdr:spPr>
          <a:xfrm>
            <a:off x="450750" y="3740001"/>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PRINCE EDWARD ISLAND</a:t>
            </a:r>
            <a:endParaRPr b="1" sz="900">
              <a:solidFill>
                <a:srgbClr val="FFFFFF"/>
              </a:solidFill>
            </a:endParaRPr>
          </a:p>
        </xdr:txBody>
      </xdr:sp>
      <xdr:sp>
        <xdr:nvSpPr>
          <xdr:cNvPr id="13" name="Shape 13"/>
          <xdr:cNvSpPr/>
        </xdr:nvSpPr>
        <xdr:spPr>
          <a:xfrm>
            <a:off x="450750" y="4143853"/>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QUEBEC</a:t>
            </a:r>
            <a:endParaRPr b="1" sz="900">
              <a:solidFill>
                <a:srgbClr val="FFFFFF"/>
              </a:solidFill>
            </a:endParaRPr>
          </a:p>
        </xdr:txBody>
      </xdr:sp>
      <xdr:sp>
        <xdr:nvSpPr>
          <xdr:cNvPr id="14" name="Shape 14"/>
          <xdr:cNvSpPr/>
        </xdr:nvSpPr>
        <xdr:spPr>
          <a:xfrm>
            <a:off x="450750" y="4547706"/>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SASKATCHEWAN</a:t>
            </a:r>
            <a:endParaRPr b="1" sz="900">
              <a:solidFill>
                <a:srgbClr val="FFFFFF"/>
              </a:solidFill>
            </a:endParaRPr>
          </a:p>
        </xdr:txBody>
      </xdr:sp>
      <xdr:sp>
        <xdr:nvSpPr>
          <xdr:cNvPr id="15" name="Shape 15"/>
          <xdr:cNvSpPr/>
        </xdr:nvSpPr>
        <xdr:spPr>
          <a:xfrm>
            <a:off x="450750" y="4951556"/>
            <a:ext cx="1365000" cy="330000"/>
          </a:xfrm>
          <a:prstGeom prst="homePlate">
            <a:avLst>
              <a:gd fmla="val 50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900">
                <a:solidFill>
                  <a:srgbClr val="FFFFFF"/>
                </a:solidFill>
              </a:rPr>
              <a:t>YUKON</a:t>
            </a:r>
            <a:endParaRPr b="1" sz="900">
              <a:solidFill>
                <a:srgbClr val="FFFFFF"/>
              </a:solidFill>
            </a:endParaRPr>
          </a:p>
        </xdr:txBody>
      </xdr:sp>
      <xdr:sp>
        <xdr:nvSpPr>
          <xdr:cNvPr id="16" name="Shape 16"/>
          <xdr:cNvSpPr txBox="1"/>
        </xdr:nvSpPr>
        <xdr:spPr>
          <a:xfrm>
            <a:off x="1815750" y="7020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5%</a:t>
            </a:r>
            <a:endParaRPr b="1" sz="2100"/>
          </a:p>
        </xdr:txBody>
      </xdr:sp>
      <xdr:sp>
        <xdr:nvSpPr>
          <xdr:cNvPr id="17" name="Shape 17"/>
          <xdr:cNvSpPr txBox="1"/>
        </xdr:nvSpPr>
        <xdr:spPr>
          <a:xfrm>
            <a:off x="1815750" y="47405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5%</a:t>
            </a:r>
            <a:endParaRPr b="1" sz="2100"/>
          </a:p>
        </xdr:txBody>
      </xdr:sp>
      <xdr:sp>
        <xdr:nvSpPr>
          <xdr:cNvPr id="18" name="Shape 18"/>
          <xdr:cNvSpPr txBox="1"/>
        </xdr:nvSpPr>
        <xdr:spPr>
          <a:xfrm>
            <a:off x="1815750" y="87790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5%</a:t>
            </a:r>
            <a:endParaRPr b="1" sz="2100"/>
          </a:p>
        </xdr:txBody>
      </xdr:sp>
      <xdr:sp>
        <xdr:nvSpPr>
          <xdr:cNvPr id="19" name="Shape 19"/>
          <xdr:cNvSpPr txBox="1"/>
        </xdr:nvSpPr>
        <xdr:spPr>
          <a:xfrm>
            <a:off x="1815750" y="128175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1</a:t>
            </a:r>
            <a:r>
              <a:rPr b="1" lang="en-US" sz="2100"/>
              <a:t>5%</a:t>
            </a:r>
            <a:endParaRPr b="1" sz="2100"/>
          </a:p>
        </xdr:txBody>
      </xdr:sp>
      <xdr:sp>
        <xdr:nvSpPr>
          <xdr:cNvPr id="20" name="Shape 20"/>
          <xdr:cNvSpPr txBox="1"/>
        </xdr:nvSpPr>
        <xdr:spPr>
          <a:xfrm>
            <a:off x="1815750" y="168560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1</a:t>
            </a:r>
            <a:r>
              <a:rPr b="1" lang="en-US" sz="2100"/>
              <a:t>5%</a:t>
            </a:r>
            <a:endParaRPr b="1" sz="2100"/>
          </a:p>
        </xdr:txBody>
      </xdr:sp>
      <xdr:sp>
        <xdr:nvSpPr>
          <xdr:cNvPr id="21" name="Shape 21"/>
          <xdr:cNvSpPr txBox="1"/>
        </xdr:nvSpPr>
        <xdr:spPr>
          <a:xfrm>
            <a:off x="1815750" y="208945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5%</a:t>
            </a:r>
            <a:endParaRPr b="1" sz="2100"/>
          </a:p>
        </xdr:txBody>
      </xdr:sp>
      <xdr:sp>
        <xdr:nvSpPr>
          <xdr:cNvPr id="22" name="Shape 22"/>
          <xdr:cNvSpPr txBox="1"/>
        </xdr:nvSpPr>
        <xdr:spPr>
          <a:xfrm>
            <a:off x="1815750" y="249330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1</a:t>
            </a:r>
            <a:r>
              <a:rPr b="1" lang="en-US" sz="2100"/>
              <a:t>5%</a:t>
            </a:r>
            <a:endParaRPr b="1" sz="2100"/>
          </a:p>
        </xdr:txBody>
      </xdr:sp>
      <xdr:sp>
        <xdr:nvSpPr>
          <xdr:cNvPr id="23" name="Shape 23"/>
          <xdr:cNvSpPr txBox="1"/>
        </xdr:nvSpPr>
        <xdr:spPr>
          <a:xfrm>
            <a:off x="1815750" y="289715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5%</a:t>
            </a:r>
            <a:endParaRPr b="1" sz="2100"/>
          </a:p>
        </xdr:txBody>
      </xdr:sp>
      <xdr:sp>
        <xdr:nvSpPr>
          <xdr:cNvPr id="24" name="Shape 24"/>
          <xdr:cNvSpPr txBox="1"/>
        </xdr:nvSpPr>
        <xdr:spPr>
          <a:xfrm>
            <a:off x="1815750" y="289715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5%</a:t>
            </a:r>
            <a:endParaRPr b="1" sz="2100"/>
          </a:p>
        </xdr:txBody>
      </xdr:sp>
      <xdr:sp>
        <xdr:nvSpPr>
          <xdr:cNvPr id="25" name="Shape 25"/>
          <xdr:cNvSpPr txBox="1"/>
        </xdr:nvSpPr>
        <xdr:spPr>
          <a:xfrm>
            <a:off x="1815750" y="330100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13</a:t>
            </a:r>
            <a:r>
              <a:rPr b="1" lang="en-US" sz="2100"/>
              <a:t>%</a:t>
            </a:r>
            <a:endParaRPr b="1" sz="2100"/>
          </a:p>
        </xdr:txBody>
      </xdr:sp>
      <xdr:sp>
        <xdr:nvSpPr>
          <xdr:cNvPr id="26" name="Shape 26"/>
          <xdr:cNvSpPr txBox="1"/>
        </xdr:nvSpPr>
        <xdr:spPr>
          <a:xfrm>
            <a:off x="1815750" y="370485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1</a:t>
            </a:r>
            <a:r>
              <a:rPr b="1" lang="en-US" sz="2100"/>
              <a:t>5%</a:t>
            </a:r>
            <a:endParaRPr b="1" sz="2100"/>
          </a:p>
        </xdr:txBody>
      </xdr:sp>
      <xdr:sp>
        <xdr:nvSpPr>
          <xdr:cNvPr id="27" name="Shape 27"/>
          <xdr:cNvSpPr txBox="1"/>
        </xdr:nvSpPr>
        <xdr:spPr>
          <a:xfrm>
            <a:off x="1815750" y="410870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5%</a:t>
            </a:r>
            <a:endParaRPr b="1" sz="2100"/>
          </a:p>
        </xdr:txBody>
      </xdr:sp>
      <xdr:sp>
        <xdr:nvSpPr>
          <xdr:cNvPr id="28" name="Shape 28"/>
          <xdr:cNvSpPr txBox="1"/>
        </xdr:nvSpPr>
        <xdr:spPr>
          <a:xfrm>
            <a:off x="1815750" y="451255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5%</a:t>
            </a:r>
            <a:endParaRPr b="1" sz="2100"/>
          </a:p>
        </xdr:txBody>
      </xdr:sp>
      <xdr:sp>
        <xdr:nvSpPr>
          <xdr:cNvPr id="29" name="Shape 29"/>
          <xdr:cNvSpPr txBox="1"/>
        </xdr:nvSpPr>
        <xdr:spPr>
          <a:xfrm>
            <a:off x="1815750" y="4916400"/>
            <a:ext cx="7377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5%</a:t>
            </a:r>
            <a:endParaRPr b="1" sz="2100"/>
          </a:p>
        </xdr:txBody>
      </xdr:sp>
    </xdr:grpSp>
    <xdr:clientData fLocksWithSheet="0"/>
  </xdr:oneCellAnchor>
  <xdr:oneCellAnchor>
    <xdr:from>
      <xdr:col>2</xdr:col>
      <xdr:colOff>0</xdr:colOff>
      <xdr:row>54</xdr:row>
      <xdr:rowOff>0</xdr:rowOff>
    </xdr:from>
    <xdr:ext cx="29527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25</xdr:row>
      <xdr:rowOff>28575</xdr:rowOff>
    </xdr:from>
    <xdr:ext cx="6553200" cy="2552700"/>
    <xdr:grpSp>
      <xdr:nvGrpSpPr>
        <xdr:cNvPr id="2" name="Shape 2" title="Drawing"/>
        <xdr:cNvGrpSpPr/>
      </xdr:nvGrpSpPr>
      <xdr:grpSpPr>
        <a:xfrm>
          <a:off x="13" y="510623"/>
          <a:ext cx="7619987" cy="3802002"/>
          <a:chOff x="13" y="510623"/>
          <a:chExt cx="7619987" cy="3802002"/>
        </a:xfrm>
      </xdr:grpSpPr>
      <xdr:sp>
        <xdr:nvSpPr>
          <xdr:cNvPr id="30" name="Shape 30"/>
          <xdr:cNvSpPr txBox="1"/>
        </xdr:nvSpPr>
        <xdr:spPr>
          <a:xfrm>
            <a:off x="13" y="510672"/>
            <a:ext cx="1488600" cy="8475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PRE-CALL PREPARATIONS</a:t>
            </a:r>
            <a:endParaRPr sz="1200"/>
          </a:p>
        </xdr:txBody>
      </xdr:sp>
      <xdr:sp>
        <xdr:nvSpPr>
          <xdr:cNvPr id="31" name="Shape 31"/>
          <xdr:cNvSpPr txBox="1"/>
        </xdr:nvSpPr>
        <xdr:spPr>
          <a:xfrm>
            <a:off x="2043805" y="510623"/>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1ST CALL ATTEMPT</a:t>
            </a:r>
            <a:endParaRPr sz="1200"/>
          </a:p>
        </xdr:txBody>
      </xdr:sp>
      <xdr:cxnSp>
        <xdr:nvCxnSpPr>
          <xdr:cNvPr id="32" name="Shape 32"/>
          <xdr:cNvCxnSpPr>
            <a:stCxn id="30" idx="3"/>
            <a:endCxn id="31" idx="1"/>
          </xdr:cNvCxnSpPr>
        </xdr:nvCxnSpPr>
        <xdr:spPr>
          <a:xfrm>
            <a:off x="1488613" y="934422"/>
            <a:ext cx="555300" cy="0"/>
          </a:xfrm>
          <a:prstGeom prst="straightConnector1">
            <a:avLst/>
          </a:prstGeom>
          <a:noFill/>
          <a:ln cap="flat" cmpd="sng" w="19050">
            <a:solidFill>
              <a:srgbClr val="4A86E8"/>
            </a:solidFill>
            <a:prstDash val="solid"/>
            <a:round/>
            <a:headEnd len="med" w="med" type="none"/>
            <a:tailEnd len="med" w="med" type="triangle"/>
          </a:ln>
        </xdr:spPr>
      </xdr:cxnSp>
      <xdr:sp>
        <xdr:nvSpPr>
          <xdr:cNvPr id="33" name="Shape 33"/>
          <xdr:cNvSpPr txBox="1"/>
        </xdr:nvSpPr>
        <xdr:spPr>
          <a:xfrm>
            <a:off x="4087598" y="510623"/>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LEAVE VOICEMAIL</a:t>
            </a:r>
            <a:endParaRPr sz="1200"/>
          </a:p>
        </xdr:txBody>
      </xdr:sp>
      <xdr:cxnSp>
        <xdr:nvCxnSpPr>
          <xdr:cNvPr id="34" name="Shape 34"/>
          <xdr:cNvCxnSpPr>
            <a:stCxn id="31" idx="3"/>
            <a:endCxn id="33" idx="1"/>
          </xdr:cNvCxnSpPr>
        </xdr:nvCxnSpPr>
        <xdr:spPr>
          <a:xfrm>
            <a:off x="3532405" y="934373"/>
            <a:ext cx="555300" cy="0"/>
          </a:xfrm>
          <a:prstGeom prst="straightConnector1">
            <a:avLst/>
          </a:prstGeom>
          <a:noFill/>
          <a:ln cap="flat" cmpd="sng" w="19050">
            <a:solidFill>
              <a:srgbClr val="FF0000"/>
            </a:solidFill>
            <a:prstDash val="solid"/>
            <a:round/>
            <a:headEnd len="med" w="med" type="none"/>
            <a:tailEnd len="med" w="med" type="triangle"/>
          </a:ln>
        </xdr:spPr>
      </xdr:cxnSp>
      <xdr:sp>
        <xdr:nvSpPr>
          <xdr:cNvPr id="35" name="Shape 35"/>
          <xdr:cNvSpPr txBox="1"/>
        </xdr:nvSpPr>
        <xdr:spPr>
          <a:xfrm>
            <a:off x="6131390" y="510672"/>
            <a:ext cx="1488600" cy="847500"/>
          </a:xfrm>
          <a:prstGeom prst="rect">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SEND UNRESPONSIVE-PHONE TEMPLATE</a:t>
            </a:r>
            <a:endParaRPr sz="1200"/>
          </a:p>
        </xdr:txBody>
      </xdr:sp>
      <xdr:cxnSp>
        <xdr:nvCxnSpPr>
          <xdr:cNvPr id="36" name="Shape 36"/>
          <xdr:cNvCxnSpPr>
            <a:stCxn id="33" idx="3"/>
            <a:endCxn id="35" idx="1"/>
          </xdr:cNvCxnSpPr>
        </xdr:nvCxnSpPr>
        <xdr:spPr>
          <a:xfrm>
            <a:off x="5576198" y="934373"/>
            <a:ext cx="555300" cy="0"/>
          </a:xfrm>
          <a:prstGeom prst="straightConnector1">
            <a:avLst/>
          </a:prstGeom>
          <a:noFill/>
          <a:ln cap="flat" cmpd="sng" w="19050">
            <a:solidFill>
              <a:srgbClr val="4A86E8"/>
            </a:solidFill>
            <a:prstDash val="solid"/>
            <a:round/>
            <a:headEnd len="med" w="med" type="none"/>
            <a:tailEnd len="med" w="med" type="triangle"/>
          </a:ln>
        </xdr:spPr>
      </xdr:cxnSp>
      <xdr:sp>
        <xdr:nvSpPr>
          <xdr:cNvPr id="37" name="Shape 37"/>
          <xdr:cNvSpPr txBox="1"/>
        </xdr:nvSpPr>
        <xdr:spPr>
          <a:xfrm>
            <a:off x="2043805" y="1654773"/>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2ND CALL ATTEMPT</a:t>
            </a:r>
            <a:endParaRPr sz="1200"/>
          </a:p>
        </xdr:txBody>
      </xdr:sp>
      <xdr:cxnSp>
        <xdr:nvCxnSpPr>
          <xdr:cNvPr id="38" name="Shape 38"/>
          <xdr:cNvCxnSpPr>
            <a:stCxn id="31" idx="2"/>
            <a:endCxn id="37" idx="0"/>
          </xdr:cNvCxnSpPr>
        </xdr:nvCxnSpPr>
        <xdr:spPr>
          <a:xfrm>
            <a:off x="2788105" y="1358123"/>
            <a:ext cx="0" cy="296700"/>
          </a:xfrm>
          <a:prstGeom prst="straightConnector1">
            <a:avLst/>
          </a:prstGeom>
          <a:noFill/>
          <a:ln cap="flat" cmpd="sng" w="19050">
            <a:solidFill>
              <a:srgbClr val="FF0000"/>
            </a:solidFill>
            <a:prstDash val="solid"/>
            <a:round/>
            <a:headEnd len="med" w="med" type="none"/>
            <a:tailEnd len="med" w="med" type="triangle"/>
          </a:ln>
        </xdr:spPr>
      </xdr:cxnSp>
      <xdr:sp>
        <xdr:nvSpPr>
          <xdr:cNvPr id="39" name="Shape 39"/>
          <xdr:cNvSpPr txBox="1"/>
        </xdr:nvSpPr>
        <xdr:spPr>
          <a:xfrm>
            <a:off x="5458500" y="2294675"/>
            <a:ext cx="2161500" cy="11478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292100" lvl="0" marL="457200" rtl="0" algn="l">
              <a:spcBef>
                <a:spcPts val="0"/>
              </a:spcBef>
              <a:spcAft>
                <a:spcPts val="0"/>
              </a:spcAft>
              <a:buSzPts val="1000"/>
              <a:buChar char="●"/>
            </a:pPr>
            <a:r>
              <a:rPr lang="en-US" sz="1000"/>
              <a:t>TICK OFF OPEN CALL TASK</a:t>
            </a:r>
            <a:endParaRPr sz="1000"/>
          </a:p>
          <a:p>
            <a:pPr indent="-292100" lvl="0" marL="457200" rtl="0" algn="l">
              <a:spcBef>
                <a:spcPts val="0"/>
              </a:spcBef>
              <a:spcAft>
                <a:spcPts val="0"/>
              </a:spcAft>
              <a:buSzPts val="1000"/>
              <a:buChar char="●"/>
            </a:pPr>
            <a:r>
              <a:rPr lang="en-US" sz="1000"/>
              <a:t>CHANGE THE LEAD STATUS TO </a:t>
            </a:r>
            <a:r>
              <a:rPr i="1" lang="en-US" sz="1000"/>
              <a:t>‘ATTEMPTED’</a:t>
            </a:r>
            <a:endParaRPr i="1" sz="1000"/>
          </a:p>
          <a:p>
            <a:pPr indent="-292100" lvl="0" marL="457200" rtl="0" algn="l">
              <a:spcBef>
                <a:spcPts val="0"/>
              </a:spcBef>
              <a:spcAft>
                <a:spcPts val="0"/>
              </a:spcAft>
              <a:buSzPts val="1000"/>
              <a:buChar char="●"/>
            </a:pPr>
            <a:r>
              <a:rPr lang="en-US" sz="1000"/>
              <a:t>LEAVE NOTES: ‘</a:t>
            </a:r>
            <a:r>
              <a:rPr i="1" lang="en-US" sz="1000"/>
              <a:t>LVM OR LMOM’</a:t>
            </a:r>
            <a:endParaRPr i="1" sz="1000"/>
          </a:p>
        </xdr:txBody>
      </xdr:sp>
      <xdr:cxnSp>
        <xdr:nvCxnSpPr>
          <xdr:cNvPr id="40" name="Shape 40"/>
          <xdr:cNvCxnSpPr>
            <a:stCxn id="35" idx="2"/>
            <a:endCxn id="39" idx="0"/>
          </xdr:cNvCxnSpPr>
        </xdr:nvCxnSpPr>
        <xdr:spPr>
          <a:xfrm flipH="1">
            <a:off x="6539390" y="1358172"/>
            <a:ext cx="336300" cy="936600"/>
          </a:xfrm>
          <a:prstGeom prst="straightConnector1">
            <a:avLst/>
          </a:prstGeom>
          <a:noFill/>
          <a:ln cap="flat" cmpd="sng" w="19050">
            <a:solidFill>
              <a:srgbClr val="4A86E8"/>
            </a:solidFill>
            <a:prstDash val="solid"/>
            <a:round/>
            <a:headEnd len="med" w="med" type="none"/>
            <a:tailEnd len="med" w="med" type="triangle"/>
          </a:ln>
        </xdr:spPr>
      </xdr:cxnSp>
      <xdr:cxnSp>
        <xdr:nvCxnSpPr>
          <xdr:cNvPr id="41" name="Shape 41"/>
          <xdr:cNvCxnSpPr>
            <a:stCxn id="37" idx="3"/>
            <a:endCxn id="33" idx="2"/>
          </xdr:cNvCxnSpPr>
        </xdr:nvCxnSpPr>
        <xdr:spPr>
          <a:xfrm flipH="1" rot="10800000">
            <a:off x="3532405" y="1358223"/>
            <a:ext cx="1299600" cy="720300"/>
          </a:xfrm>
          <a:prstGeom prst="bentConnector2">
            <a:avLst/>
          </a:prstGeom>
          <a:noFill/>
          <a:ln cap="flat" cmpd="sng" w="19050">
            <a:solidFill>
              <a:srgbClr val="FF0000"/>
            </a:solidFill>
            <a:prstDash val="solid"/>
            <a:round/>
            <a:headEnd len="med" w="med" type="none"/>
            <a:tailEnd len="med" w="med" type="triangle"/>
          </a:ln>
        </xdr:spPr>
      </xdr:cxnSp>
      <xdr:sp>
        <xdr:nvSpPr>
          <xdr:cNvPr id="42" name="Shape 42"/>
          <xdr:cNvSpPr txBox="1"/>
        </xdr:nvSpPr>
        <xdr:spPr>
          <a:xfrm>
            <a:off x="2043800" y="2650775"/>
            <a:ext cx="1488600" cy="435600"/>
          </a:xfrm>
          <a:prstGeom prst="rect">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EMAIL BOUNCED</a:t>
            </a:r>
            <a:endParaRPr sz="1200"/>
          </a:p>
        </xdr:txBody>
      </xdr:sp>
      <xdr:cxnSp>
        <xdr:nvCxnSpPr>
          <xdr:cNvPr id="43" name="Shape 43"/>
          <xdr:cNvCxnSpPr>
            <a:stCxn id="35" idx="2"/>
            <a:endCxn id="42" idx="3"/>
          </xdr:cNvCxnSpPr>
        </xdr:nvCxnSpPr>
        <xdr:spPr>
          <a:xfrm flipH="1">
            <a:off x="3532490" y="1358172"/>
            <a:ext cx="3343200" cy="1510500"/>
          </a:xfrm>
          <a:prstGeom prst="straightConnector1">
            <a:avLst/>
          </a:prstGeom>
          <a:noFill/>
          <a:ln cap="flat" cmpd="sng" w="19050">
            <a:solidFill>
              <a:srgbClr val="FF0000"/>
            </a:solidFill>
            <a:prstDash val="dash"/>
            <a:round/>
            <a:headEnd len="med" w="med" type="none"/>
            <a:tailEnd len="med" w="med" type="none"/>
          </a:ln>
        </xdr:spPr>
      </xdr:cxnSp>
      <xdr:cxnSp>
        <xdr:nvCxnSpPr>
          <xdr:cNvPr id="44" name="Shape 44"/>
          <xdr:cNvCxnSpPr>
            <a:stCxn id="35" idx="1"/>
          </xdr:cNvCxnSpPr>
        </xdr:nvCxnSpPr>
        <xdr:spPr>
          <a:xfrm>
            <a:off x="6131390" y="934422"/>
            <a:ext cx="0" cy="0"/>
          </a:xfrm>
          <a:prstGeom prst="straightConnector1">
            <a:avLst/>
          </a:prstGeom>
          <a:noFill/>
          <a:ln cap="flat" cmpd="sng" w="9525">
            <a:solidFill>
              <a:srgbClr val="000000"/>
            </a:solidFill>
            <a:prstDash val="solid"/>
            <a:round/>
            <a:headEnd len="med" w="med" type="none"/>
            <a:tailEnd len="med" w="med" type="none"/>
          </a:ln>
        </xdr:spPr>
      </xdr:cxnSp>
      <xdr:cxnSp>
        <xdr:nvCxnSpPr>
          <xdr:cNvPr id="45" name="Shape 45"/>
          <xdr:cNvCxnSpPr>
            <a:stCxn id="42" idx="2"/>
            <a:endCxn id="39" idx="1"/>
          </xdr:cNvCxnSpPr>
        </xdr:nvCxnSpPr>
        <xdr:spPr>
          <a:xfrm rot="-5400000">
            <a:off x="4014350" y="1642325"/>
            <a:ext cx="217800" cy="2670300"/>
          </a:xfrm>
          <a:prstGeom prst="bentConnector4">
            <a:avLst>
              <a:gd fmla="val -109332" name="adj1"/>
              <a:gd fmla="val 63939" name="adj2"/>
            </a:avLst>
          </a:prstGeom>
          <a:noFill/>
          <a:ln cap="flat" cmpd="sng" w="19050">
            <a:solidFill>
              <a:srgbClr val="4A86E8"/>
            </a:solidFill>
            <a:prstDash val="solid"/>
            <a:round/>
            <a:headEnd len="med" w="med" type="none"/>
            <a:tailEnd len="med" w="med" type="triangle"/>
          </a:ln>
        </xdr:spPr>
      </xdr:cxnSp>
    </xdr:grpSp>
    <xdr:clientData fLocksWithSheet="0"/>
  </xdr:oneCellAnchor>
  <xdr:oneCellAnchor>
    <xdr:from>
      <xdr:col>9</xdr:col>
      <xdr:colOff>85725</xdr:colOff>
      <xdr:row>33</xdr:row>
      <xdr:rowOff>85725</xdr:rowOff>
    </xdr:from>
    <xdr:ext cx="6553200" cy="3771900"/>
    <xdr:grpSp>
      <xdr:nvGrpSpPr>
        <xdr:cNvPr id="2" name="Shape 2" title="Drawing"/>
        <xdr:cNvGrpSpPr/>
      </xdr:nvGrpSpPr>
      <xdr:grpSpPr>
        <a:xfrm>
          <a:off x="-12" y="294598"/>
          <a:ext cx="7619985" cy="4383652"/>
          <a:chOff x="-12" y="294598"/>
          <a:chExt cx="7619985" cy="4383652"/>
        </a:xfrm>
      </xdr:grpSpPr>
      <xdr:sp>
        <xdr:nvSpPr>
          <xdr:cNvPr id="46" name="Shape 46"/>
          <xdr:cNvSpPr txBox="1"/>
        </xdr:nvSpPr>
        <xdr:spPr>
          <a:xfrm>
            <a:off x="-12" y="294647"/>
            <a:ext cx="1488600" cy="8475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PRE-CALL PREPARATIONS</a:t>
            </a:r>
            <a:endParaRPr sz="1200"/>
          </a:p>
        </xdr:txBody>
      </xdr:sp>
      <xdr:sp>
        <xdr:nvSpPr>
          <xdr:cNvPr id="47" name="Shape 47"/>
          <xdr:cNvSpPr txBox="1"/>
        </xdr:nvSpPr>
        <xdr:spPr>
          <a:xfrm>
            <a:off x="2043780" y="294598"/>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1ST CALL ATTEMPT</a:t>
            </a:r>
            <a:endParaRPr sz="1200"/>
          </a:p>
        </xdr:txBody>
      </xdr:sp>
      <xdr:cxnSp>
        <xdr:nvCxnSpPr>
          <xdr:cNvPr id="48" name="Shape 48"/>
          <xdr:cNvCxnSpPr>
            <a:stCxn id="46" idx="3"/>
            <a:endCxn id="47" idx="1"/>
          </xdr:cNvCxnSpPr>
        </xdr:nvCxnSpPr>
        <xdr:spPr>
          <a:xfrm>
            <a:off x="1488588" y="718397"/>
            <a:ext cx="555300" cy="0"/>
          </a:xfrm>
          <a:prstGeom prst="straightConnector1">
            <a:avLst/>
          </a:prstGeom>
          <a:noFill/>
          <a:ln cap="flat" cmpd="sng" w="19050">
            <a:solidFill>
              <a:srgbClr val="4A86E8"/>
            </a:solidFill>
            <a:prstDash val="solid"/>
            <a:round/>
            <a:headEnd len="med" w="med" type="none"/>
            <a:tailEnd len="med" w="med" type="triangle"/>
          </a:ln>
        </xdr:spPr>
      </xdr:cxnSp>
      <xdr:sp>
        <xdr:nvSpPr>
          <xdr:cNvPr id="49" name="Shape 49"/>
          <xdr:cNvSpPr txBox="1"/>
        </xdr:nvSpPr>
        <xdr:spPr>
          <a:xfrm>
            <a:off x="4087573" y="294598"/>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CALL BACK REQUEST</a:t>
            </a:r>
            <a:endParaRPr sz="1200"/>
          </a:p>
        </xdr:txBody>
      </xdr:sp>
      <xdr:cxnSp>
        <xdr:nvCxnSpPr>
          <xdr:cNvPr id="50" name="Shape 50"/>
          <xdr:cNvCxnSpPr>
            <a:stCxn id="47" idx="3"/>
            <a:endCxn id="49" idx="1"/>
          </xdr:cNvCxnSpPr>
        </xdr:nvCxnSpPr>
        <xdr:spPr>
          <a:xfrm>
            <a:off x="3532380" y="718348"/>
            <a:ext cx="555300" cy="0"/>
          </a:xfrm>
          <a:prstGeom prst="straightConnector1">
            <a:avLst/>
          </a:prstGeom>
          <a:noFill/>
          <a:ln cap="flat" cmpd="sng" w="19050">
            <a:solidFill>
              <a:srgbClr val="00FF00"/>
            </a:solidFill>
            <a:prstDash val="solid"/>
            <a:round/>
            <a:headEnd len="med" w="med" type="none"/>
            <a:tailEnd len="med" w="med" type="triangle"/>
          </a:ln>
        </xdr:spPr>
      </xdr:cxnSp>
      <xdr:cxnSp>
        <xdr:nvCxnSpPr>
          <xdr:cNvPr id="51" name="Shape 51"/>
          <xdr:cNvCxnSpPr>
            <a:stCxn id="49" idx="3"/>
            <a:endCxn id="52" idx="1"/>
          </xdr:cNvCxnSpPr>
        </xdr:nvCxnSpPr>
        <xdr:spPr>
          <a:xfrm>
            <a:off x="5576173" y="718348"/>
            <a:ext cx="555300" cy="0"/>
          </a:xfrm>
          <a:prstGeom prst="straightConnector1">
            <a:avLst/>
          </a:prstGeom>
          <a:noFill/>
          <a:ln cap="flat" cmpd="sng" w="19050">
            <a:solidFill>
              <a:srgbClr val="4A86E8"/>
            </a:solidFill>
            <a:prstDash val="solid"/>
            <a:round/>
            <a:headEnd len="med" w="med" type="none"/>
            <a:tailEnd len="med" w="med" type="triangle"/>
          </a:ln>
        </xdr:spPr>
      </xdr:cxnSp>
      <xdr:sp>
        <xdr:nvSpPr>
          <xdr:cNvPr id="53" name="Shape 53"/>
          <xdr:cNvSpPr txBox="1"/>
        </xdr:nvSpPr>
        <xdr:spPr>
          <a:xfrm>
            <a:off x="2670225" y="3457250"/>
            <a:ext cx="1986900" cy="12210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292100" lvl="0" marL="457200" rtl="0" algn="l">
              <a:spcBef>
                <a:spcPts val="0"/>
              </a:spcBef>
              <a:spcAft>
                <a:spcPts val="0"/>
              </a:spcAft>
              <a:buSzPts val="1000"/>
              <a:buChar char="●"/>
            </a:pPr>
            <a:r>
              <a:rPr lang="en-US" sz="1000"/>
              <a:t>TICK OFF OPEN CALL TASK</a:t>
            </a:r>
            <a:endParaRPr sz="1000"/>
          </a:p>
          <a:p>
            <a:pPr indent="-292100" lvl="0" marL="457200" rtl="0" algn="l">
              <a:spcBef>
                <a:spcPts val="0"/>
              </a:spcBef>
              <a:spcAft>
                <a:spcPts val="0"/>
              </a:spcAft>
              <a:buSzPts val="1000"/>
              <a:buChar char="●"/>
            </a:pPr>
            <a:r>
              <a:rPr lang="en-US" sz="1000"/>
              <a:t>CHANGE THE LEAD STATUS TO </a:t>
            </a:r>
            <a:r>
              <a:rPr i="1" lang="en-US" sz="1000"/>
              <a:t>‘COMMUNICATING’</a:t>
            </a:r>
            <a:endParaRPr i="1" sz="1000"/>
          </a:p>
          <a:p>
            <a:pPr indent="-292100" lvl="0" marL="457200" rtl="0" algn="l">
              <a:spcBef>
                <a:spcPts val="0"/>
              </a:spcBef>
              <a:spcAft>
                <a:spcPts val="0"/>
              </a:spcAft>
              <a:buSzPts val="1000"/>
              <a:buChar char="●"/>
            </a:pPr>
            <a:r>
              <a:rPr lang="en-US" sz="1000"/>
              <a:t>LEAVE PERTINENT NOTES</a:t>
            </a:r>
            <a:endParaRPr sz="1000"/>
          </a:p>
        </xdr:txBody>
      </xdr:sp>
      <xdr:sp>
        <xdr:nvSpPr>
          <xdr:cNvPr id="54" name="Shape 54"/>
          <xdr:cNvSpPr txBox="1"/>
        </xdr:nvSpPr>
        <xdr:spPr>
          <a:xfrm>
            <a:off x="6131373" y="294648"/>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CALL BACK ATTEMPT</a:t>
            </a:r>
            <a:endParaRPr sz="1200"/>
          </a:p>
        </xdr:txBody>
      </xdr:sp>
      <xdr:sp>
        <xdr:nvSpPr>
          <xdr:cNvPr id="55" name="Shape 55"/>
          <xdr:cNvSpPr txBox="1"/>
        </xdr:nvSpPr>
        <xdr:spPr>
          <a:xfrm>
            <a:off x="4087585" y="2433760"/>
            <a:ext cx="1488600" cy="847500"/>
          </a:xfrm>
          <a:prstGeom prst="rect">
            <a:avLst/>
          </a:prstGeom>
          <a:solidFill>
            <a:srgbClr val="FF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PROCEED WITH CONSULTATION CALL FLOW</a:t>
            </a:r>
            <a:endParaRPr sz="1200"/>
          </a:p>
        </xdr:txBody>
      </xdr:sp>
      <xdr:sp>
        <xdr:nvSpPr>
          <xdr:cNvPr id="56" name="Shape 56"/>
          <xdr:cNvSpPr txBox="1"/>
        </xdr:nvSpPr>
        <xdr:spPr>
          <a:xfrm>
            <a:off x="6131373" y="2161773"/>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LEAVE VOICEMAIL</a:t>
            </a:r>
            <a:endParaRPr sz="1200"/>
          </a:p>
        </xdr:txBody>
      </xdr:sp>
      <xdr:sp>
        <xdr:nvSpPr>
          <xdr:cNvPr id="57" name="Shape 57"/>
          <xdr:cNvSpPr txBox="1"/>
        </xdr:nvSpPr>
        <xdr:spPr>
          <a:xfrm>
            <a:off x="5497985" y="3830748"/>
            <a:ext cx="1488600" cy="847500"/>
          </a:xfrm>
          <a:prstGeom prst="rect">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SEND MISSED APPT/ CALENDLY LINK TEMPLATE</a:t>
            </a:r>
            <a:endParaRPr sz="1200"/>
          </a:p>
        </xdr:txBody>
      </xdr:sp>
      <xdr:cxnSp>
        <xdr:nvCxnSpPr>
          <xdr:cNvPr id="58" name="Shape 58"/>
          <xdr:cNvCxnSpPr>
            <a:stCxn id="54" idx="2"/>
            <a:endCxn id="56" idx="0"/>
          </xdr:cNvCxnSpPr>
        </xdr:nvCxnSpPr>
        <xdr:spPr>
          <a:xfrm>
            <a:off x="6875673" y="1142148"/>
            <a:ext cx="0" cy="1019700"/>
          </a:xfrm>
          <a:prstGeom prst="straightConnector1">
            <a:avLst/>
          </a:prstGeom>
          <a:noFill/>
          <a:ln cap="flat" cmpd="sng" w="19050">
            <a:solidFill>
              <a:srgbClr val="FF0000"/>
            </a:solidFill>
            <a:prstDash val="solid"/>
            <a:round/>
            <a:headEnd len="med" w="med" type="none"/>
            <a:tailEnd len="med" w="med" type="triangle"/>
          </a:ln>
        </xdr:spPr>
      </xdr:cxnSp>
      <xdr:cxnSp>
        <xdr:nvCxnSpPr>
          <xdr:cNvPr id="59" name="Shape 59"/>
          <xdr:cNvCxnSpPr>
            <a:stCxn id="54" idx="2"/>
            <a:endCxn id="55" idx="3"/>
          </xdr:cNvCxnSpPr>
        </xdr:nvCxnSpPr>
        <xdr:spPr>
          <a:xfrm flipH="1">
            <a:off x="5576073" y="1142148"/>
            <a:ext cx="1299600" cy="1715400"/>
          </a:xfrm>
          <a:prstGeom prst="straightConnector1">
            <a:avLst/>
          </a:prstGeom>
          <a:noFill/>
          <a:ln cap="flat" cmpd="sng" w="19050">
            <a:solidFill>
              <a:srgbClr val="00FF00"/>
            </a:solidFill>
            <a:prstDash val="solid"/>
            <a:round/>
            <a:headEnd len="med" w="med" type="none"/>
            <a:tailEnd len="med" w="med" type="triangle"/>
          </a:ln>
        </xdr:spPr>
      </xdr:cxnSp>
      <xdr:cxnSp>
        <xdr:nvCxnSpPr>
          <xdr:cNvPr id="60" name="Shape 60"/>
          <xdr:cNvCxnSpPr>
            <a:stCxn id="49" idx="2"/>
            <a:endCxn id="53" idx="0"/>
          </xdr:cNvCxnSpPr>
        </xdr:nvCxnSpPr>
        <xdr:spPr>
          <a:xfrm rot="5400000">
            <a:off x="3090223" y="1715548"/>
            <a:ext cx="2315100" cy="1168200"/>
          </a:xfrm>
          <a:prstGeom prst="bentConnector3">
            <a:avLst>
              <a:gd fmla="val 50001" name="adj1"/>
            </a:avLst>
          </a:prstGeom>
          <a:noFill/>
          <a:ln cap="flat" cmpd="sng" w="19050">
            <a:solidFill>
              <a:srgbClr val="4A86E8"/>
            </a:solidFill>
            <a:prstDash val="solid"/>
            <a:round/>
            <a:headEnd len="med" w="med" type="none"/>
            <a:tailEnd len="med" w="med" type="triangle"/>
          </a:ln>
        </xdr:spPr>
      </xdr:cxnSp>
      <xdr:sp>
        <xdr:nvSpPr>
          <xdr:cNvPr id="61" name="Shape 61"/>
          <xdr:cNvSpPr txBox="1"/>
        </xdr:nvSpPr>
        <xdr:spPr>
          <a:xfrm>
            <a:off x="2043780" y="1478698"/>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2ND CALL ATTEMPT</a:t>
            </a:r>
            <a:endParaRPr sz="1200"/>
          </a:p>
        </xdr:txBody>
      </xdr:sp>
      <xdr:cxnSp>
        <xdr:nvCxnSpPr>
          <xdr:cNvPr id="62" name="Shape 62"/>
          <xdr:cNvCxnSpPr>
            <a:stCxn id="47" idx="2"/>
            <a:endCxn id="61" idx="0"/>
          </xdr:cNvCxnSpPr>
        </xdr:nvCxnSpPr>
        <xdr:spPr>
          <a:xfrm flipH="1" rot="-5400000">
            <a:off x="2620080" y="1310098"/>
            <a:ext cx="336600" cy="600"/>
          </a:xfrm>
          <a:prstGeom prst="bentConnector3">
            <a:avLst>
              <a:gd fmla="val 50000" name="adj1"/>
            </a:avLst>
          </a:prstGeom>
          <a:noFill/>
          <a:ln cap="flat" cmpd="sng" w="19050">
            <a:solidFill>
              <a:srgbClr val="FF0000"/>
            </a:solidFill>
            <a:prstDash val="solid"/>
            <a:round/>
            <a:headEnd len="med" w="med" type="none"/>
            <a:tailEnd len="med" w="med" type="triangle"/>
          </a:ln>
        </xdr:spPr>
      </xdr:cxnSp>
      <xdr:cxnSp>
        <xdr:nvCxnSpPr>
          <xdr:cNvPr id="63" name="Shape 63"/>
          <xdr:cNvCxnSpPr>
            <a:stCxn id="61" idx="3"/>
            <a:endCxn id="49" idx="1"/>
          </xdr:cNvCxnSpPr>
        </xdr:nvCxnSpPr>
        <xdr:spPr>
          <a:xfrm flipH="1" rot="10800000">
            <a:off x="3532380" y="718348"/>
            <a:ext cx="555300" cy="1184100"/>
          </a:xfrm>
          <a:prstGeom prst="bentConnector3">
            <a:avLst>
              <a:gd fmla="val 49990" name="adj1"/>
            </a:avLst>
          </a:prstGeom>
          <a:noFill/>
          <a:ln cap="flat" cmpd="sng" w="19050">
            <a:solidFill>
              <a:srgbClr val="00FF00"/>
            </a:solidFill>
            <a:prstDash val="solid"/>
            <a:round/>
            <a:headEnd len="med" w="med" type="none"/>
            <a:tailEnd len="med" w="med" type="none"/>
          </a:ln>
        </xdr:spPr>
      </xdr:cxnSp>
      <xdr:cxnSp>
        <xdr:nvCxnSpPr>
          <xdr:cNvPr id="64" name="Shape 64"/>
          <xdr:cNvCxnSpPr>
            <a:stCxn id="56" idx="2"/>
            <a:endCxn id="57" idx="0"/>
          </xdr:cNvCxnSpPr>
        </xdr:nvCxnSpPr>
        <xdr:spPr>
          <a:xfrm rot="5400000">
            <a:off x="6148323" y="3103323"/>
            <a:ext cx="821400" cy="633300"/>
          </a:xfrm>
          <a:prstGeom prst="bentConnector3">
            <a:avLst>
              <a:gd fmla="val 50005" name="adj1"/>
            </a:avLst>
          </a:prstGeom>
          <a:noFill/>
          <a:ln cap="flat" cmpd="sng" w="19050">
            <a:solidFill>
              <a:srgbClr val="4A86E8"/>
            </a:solidFill>
            <a:prstDash val="solid"/>
            <a:round/>
            <a:headEnd len="med" w="med" type="none"/>
            <a:tailEnd len="med" w="med" type="triangle"/>
          </a:ln>
        </xdr:spPr>
      </xdr:cxnSp>
      <xdr:cxnSp>
        <xdr:nvCxnSpPr>
          <xdr:cNvPr id="65" name="Shape 65"/>
          <xdr:cNvCxnSpPr>
            <a:stCxn id="57" idx="1"/>
            <a:endCxn id="53" idx="3"/>
          </xdr:cNvCxnSpPr>
        </xdr:nvCxnSpPr>
        <xdr:spPr>
          <a:xfrm rot="10800000">
            <a:off x="4657085" y="4067898"/>
            <a:ext cx="840900" cy="186600"/>
          </a:xfrm>
          <a:prstGeom prst="bentConnector3">
            <a:avLst>
              <a:gd fmla="val 50004" name="adj1"/>
            </a:avLst>
          </a:prstGeom>
          <a:noFill/>
          <a:ln cap="flat" cmpd="sng" w="19050">
            <a:solidFill>
              <a:srgbClr val="4A86E8"/>
            </a:solidFill>
            <a:prstDash val="solid"/>
            <a:round/>
            <a:headEnd len="med" w="med" type="none"/>
            <a:tailEnd len="med" w="med" type="triangle"/>
          </a:ln>
        </xdr:spPr>
      </xdr:cxnSp>
      <xdr:sp>
        <xdr:nvSpPr>
          <xdr:cNvPr id="66" name="Shape 66"/>
          <xdr:cNvSpPr txBox="1"/>
        </xdr:nvSpPr>
        <xdr:spPr>
          <a:xfrm>
            <a:off x="223565" y="2326209"/>
            <a:ext cx="1488600" cy="847500"/>
          </a:xfrm>
          <a:prstGeom prst="rect">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SEND UNRESPONSIVE-PHONE TEMPLATE</a:t>
            </a:r>
            <a:endParaRPr sz="1200"/>
          </a:p>
        </xdr:txBody>
      </xdr:sp>
      <xdr:sp>
        <xdr:nvSpPr>
          <xdr:cNvPr id="67" name="Shape 67"/>
          <xdr:cNvSpPr txBox="1"/>
        </xdr:nvSpPr>
        <xdr:spPr>
          <a:xfrm>
            <a:off x="223575" y="3510388"/>
            <a:ext cx="2161500" cy="11478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292100" lvl="0" marL="457200" rtl="0" algn="l">
              <a:spcBef>
                <a:spcPts val="0"/>
              </a:spcBef>
              <a:spcAft>
                <a:spcPts val="0"/>
              </a:spcAft>
              <a:buSzPts val="1000"/>
              <a:buChar char="●"/>
            </a:pPr>
            <a:r>
              <a:rPr lang="en-US" sz="1000"/>
              <a:t>TICK OFF OPEN CALL TASK</a:t>
            </a:r>
            <a:endParaRPr sz="1000"/>
          </a:p>
          <a:p>
            <a:pPr indent="-292100" lvl="0" marL="457200" rtl="0" algn="l">
              <a:spcBef>
                <a:spcPts val="0"/>
              </a:spcBef>
              <a:spcAft>
                <a:spcPts val="0"/>
              </a:spcAft>
              <a:buSzPts val="1000"/>
              <a:buChar char="●"/>
            </a:pPr>
            <a:r>
              <a:rPr lang="en-US" sz="1000"/>
              <a:t>CHANGE THE LEAD STATUS TO </a:t>
            </a:r>
            <a:r>
              <a:rPr i="1" lang="en-US" sz="1000"/>
              <a:t>‘ATTEMPTED’</a:t>
            </a:r>
            <a:endParaRPr i="1" sz="1000"/>
          </a:p>
          <a:p>
            <a:pPr indent="-292100" lvl="0" marL="457200" rtl="0" algn="l">
              <a:spcBef>
                <a:spcPts val="0"/>
              </a:spcBef>
              <a:spcAft>
                <a:spcPts val="0"/>
              </a:spcAft>
              <a:buSzPts val="1000"/>
              <a:buChar char="●"/>
            </a:pPr>
            <a:r>
              <a:rPr lang="en-US" sz="1000"/>
              <a:t>LEAVE NOTES: ‘</a:t>
            </a:r>
            <a:r>
              <a:rPr i="1" lang="en-US" sz="1000"/>
              <a:t>LVM OR LMOM’</a:t>
            </a:r>
            <a:endParaRPr i="1" sz="1000"/>
          </a:p>
        </xdr:txBody>
      </xdr:sp>
      <xdr:cxnSp>
        <xdr:nvCxnSpPr>
          <xdr:cNvPr id="68" name="Shape 68"/>
          <xdr:cNvCxnSpPr>
            <a:stCxn id="61" idx="1"/>
            <a:endCxn id="66" idx="0"/>
          </xdr:cNvCxnSpPr>
        </xdr:nvCxnSpPr>
        <xdr:spPr>
          <a:xfrm flipH="1">
            <a:off x="967980" y="1902448"/>
            <a:ext cx="1075800" cy="423900"/>
          </a:xfrm>
          <a:prstGeom prst="bentConnector2">
            <a:avLst/>
          </a:prstGeom>
          <a:noFill/>
          <a:ln cap="flat" cmpd="sng" w="19050">
            <a:solidFill>
              <a:srgbClr val="FF0000"/>
            </a:solidFill>
            <a:prstDash val="solid"/>
            <a:round/>
            <a:headEnd len="med" w="med" type="none"/>
            <a:tailEnd len="med" w="med" type="triangle"/>
          </a:ln>
        </xdr:spPr>
      </xdr:cxnSp>
      <xdr:cxnSp>
        <xdr:nvCxnSpPr>
          <xdr:cNvPr id="69" name="Shape 69"/>
          <xdr:cNvCxnSpPr>
            <a:stCxn id="66" idx="2"/>
            <a:endCxn id="67" idx="0"/>
          </xdr:cNvCxnSpPr>
        </xdr:nvCxnSpPr>
        <xdr:spPr>
          <a:xfrm flipH="1" rot="-5400000">
            <a:off x="967865" y="3173709"/>
            <a:ext cx="336600" cy="336600"/>
          </a:xfrm>
          <a:prstGeom prst="bentConnector3">
            <a:avLst>
              <a:gd fmla="val 50012" name="adj1"/>
            </a:avLst>
          </a:prstGeom>
          <a:noFill/>
          <a:ln cap="flat" cmpd="sng" w="19050">
            <a:solidFill>
              <a:srgbClr val="4A86E8"/>
            </a:solidFill>
            <a:prstDash val="solid"/>
            <a:round/>
            <a:headEnd len="med" w="med" type="none"/>
            <a:tailEnd len="med" w="med" type="triangle"/>
          </a:ln>
        </xdr:spPr>
      </xdr:cxnSp>
    </xdr:grpSp>
    <xdr:clientData fLocksWithSheet="0"/>
  </xdr:oneCellAnchor>
  <xdr:oneCellAnchor>
    <xdr:from>
      <xdr:col>1</xdr:col>
      <xdr:colOff>85725</xdr:colOff>
      <xdr:row>42</xdr:row>
      <xdr:rowOff>28575</xdr:rowOff>
    </xdr:from>
    <xdr:ext cx="6553200" cy="2038350"/>
    <xdr:grpSp>
      <xdr:nvGrpSpPr>
        <xdr:cNvPr id="2" name="Shape 2" title="Drawing"/>
        <xdr:cNvGrpSpPr/>
      </xdr:nvGrpSpPr>
      <xdr:grpSpPr>
        <a:xfrm>
          <a:off x="-12" y="756147"/>
          <a:ext cx="7358837" cy="2280628"/>
          <a:chOff x="-12" y="756147"/>
          <a:chExt cx="7358837" cy="2280628"/>
        </a:xfrm>
      </xdr:grpSpPr>
      <xdr:sp>
        <xdr:nvSpPr>
          <xdr:cNvPr id="70" name="Shape 70"/>
          <xdr:cNvSpPr txBox="1"/>
        </xdr:nvSpPr>
        <xdr:spPr>
          <a:xfrm>
            <a:off x="-12" y="756147"/>
            <a:ext cx="1488600" cy="8475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PRE-CALL PREPARATIONS</a:t>
            </a:r>
            <a:endParaRPr sz="1200"/>
          </a:p>
        </xdr:txBody>
      </xdr:sp>
      <xdr:cxnSp>
        <xdr:nvCxnSpPr>
          <xdr:cNvPr id="71" name="Shape 71"/>
          <xdr:cNvCxnSpPr/>
        </xdr:nvCxnSpPr>
        <xdr:spPr>
          <a:xfrm>
            <a:off x="2509813" y="1179897"/>
            <a:ext cx="555300" cy="0"/>
          </a:xfrm>
          <a:prstGeom prst="straightConnector1">
            <a:avLst/>
          </a:prstGeom>
          <a:noFill/>
          <a:ln cap="flat" cmpd="sng" w="19050">
            <a:solidFill>
              <a:srgbClr val="FF0000"/>
            </a:solidFill>
            <a:prstDash val="dash"/>
            <a:round/>
            <a:headEnd len="med" w="med" type="none"/>
            <a:tailEnd len="med" w="med" type="none"/>
          </a:ln>
        </xdr:spPr>
      </xdr:cxnSp>
      <xdr:sp>
        <xdr:nvSpPr>
          <xdr:cNvPr id="72" name="Shape 72"/>
          <xdr:cNvSpPr txBox="1"/>
        </xdr:nvSpPr>
        <xdr:spPr>
          <a:xfrm>
            <a:off x="3747173" y="756148"/>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100"/>
              <a:t>FAST TONE/COULD NOT BE CONNECTED/NIS/HUNG UP ON INTRO</a:t>
            </a:r>
            <a:endParaRPr sz="1100"/>
          </a:p>
        </xdr:txBody>
      </xdr:sp>
      <xdr:sp>
        <xdr:nvSpPr>
          <xdr:cNvPr id="73" name="Shape 73"/>
          <xdr:cNvSpPr txBox="1"/>
        </xdr:nvSpPr>
        <xdr:spPr>
          <a:xfrm>
            <a:off x="5787165" y="756147"/>
            <a:ext cx="1488600" cy="847500"/>
          </a:xfrm>
          <a:prstGeom prst="rect">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SEND UNRESPONSIVE-PHONE TEMPLATE</a:t>
            </a:r>
            <a:endParaRPr sz="1200"/>
          </a:p>
        </xdr:txBody>
      </xdr:sp>
      <xdr:cxnSp>
        <xdr:nvCxnSpPr>
          <xdr:cNvPr id="74" name="Shape 74"/>
          <xdr:cNvCxnSpPr>
            <a:stCxn id="72" idx="3"/>
            <a:endCxn id="73" idx="1"/>
          </xdr:cNvCxnSpPr>
        </xdr:nvCxnSpPr>
        <xdr:spPr>
          <a:xfrm>
            <a:off x="5235773" y="1179898"/>
            <a:ext cx="551400" cy="0"/>
          </a:xfrm>
          <a:prstGeom prst="straightConnector1">
            <a:avLst/>
          </a:prstGeom>
          <a:noFill/>
          <a:ln cap="flat" cmpd="sng" w="19050">
            <a:solidFill>
              <a:srgbClr val="4A86E8"/>
            </a:solidFill>
            <a:prstDash val="solid"/>
            <a:round/>
            <a:headEnd len="med" w="med" type="none"/>
            <a:tailEnd len="med" w="med" type="triangle"/>
          </a:ln>
        </xdr:spPr>
      </xdr:cxnSp>
      <xdr:sp>
        <xdr:nvSpPr>
          <xdr:cNvPr id="75" name="Shape 75"/>
          <xdr:cNvSpPr txBox="1"/>
        </xdr:nvSpPr>
        <xdr:spPr>
          <a:xfrm>
            <a:off x="5197325" y="1888975"/>
            <a:ext cx="2161500" cy="11478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292100" lvl="0" marL="457200" rtl="0" algn="l">
              <a:spcBef>
                <a:spcPts val="0"/>
              </a:spcBef>
              <a:spcAft>
                <a:spcPts val="0"/>
              </a:spcAft>
              <a:buSzPts val="1000"/>
              <a:buChar char="●"/>
            </a:pPr>
            <a:r>
              <a:rPr lang="en-US" sz="1000"/>
              <a:t>TICK OFF OPEN CALL TASK</a:t>
            </a:r>
            <a:endParaRPr sz="1000"/>
          </a:p>
          <a:p>
            <a:pPr indent="-292100" lvl="0" marL="457200" rtl="0" algn="l">
              <a:spcBef>
                <a:spcPts val="0"/>
              </a:spcBef>
              <a:spcAft>
                <a:spcPts val="0"/>
              </a:spcAft>
              <a:buSzPts val="1000"/>
              <a:buChar char="●"/>
            </a:pPr>
            <a:r>
              <a:rPr lang="en-US" sz="1000"/>
              <a:t>CHANGE THE LEAD STATUS TO </a:t>
            </a:r>
            <a:r>
              <a:rPr i="1" lang="en-US" sz="1000"/>
              <a:t>‘ATTEMPTED’</a:t>
            </a:r>
            <a:endParaRPr i="1" sz="1000"/>
          </a:p>
          <a:p>
            <a:pPr indent="-292100" lvl="0" marL="457200" rtl="0" algn="l">
              <a:spcBef>
                <a:spcPts val="0"/>
              </a:spcBef>
              <a:spcAft>
                <a:spcPts val="0"/>
              </a:spcAft>
              <a:buSzPts val="1000"/>
              <a:buChar char="●"/>
            </a:pPr>
            <a:r>
              <a:rPr lang="en-US" sz="1000"/>
              <a:t>LEAVE CRM NOTES: ‘</a:t>
            </a:r>
            <a:r>
              <a:rPr i="1" lang="en-US" sz="1000"/>
              <a:t>LVM OR LMOM’</a:t>
            </a:r>
            <a:endParaRPr i="1" sz="1000"/>
          </a:p>
        </xdr:txBody>
      </xdr:sp>
      <xdr:sp>
        <xdr:nvSpPr>
          <xdr:cNvPr id="76" name="Shape 76"/>
          <xdr:cNvSpPr txBox="1"/>
        </xdr:nvSpPr>
        <xdr:spPr>
          <a:xfrm>
            <a:off x="3052950" y="2062700"/>
            <a:ext cx="1488600" cy="435600"/>
          </a:xfrm>
          <a:prstGeom prst="rect">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EMAIL BOUNCED</a:t>
            </a:r>
            <a:endParaRPr sz="1200"/>
          </a:p>
        </xdr:txBody>
      </xdr:sp>
      <xdr:cxnSp>
        <xdr:nvCxnSpPr>
          <xdr:cNvPr id="77" name="Shape 77"/>
          <xdr:cNvCxnSpPr>
            <a:stCxn id="73" idx="2"/>
            <a:endCxn id="76" idx="0"/>
          </xdr:cNvCxnSpPr>
        </xdr:nvCxnSpPr>
        <xdr:spPr>
          <a:xfrm flipH="1">
            <a:off x="3797265" y="1603647"/>
            <a:ext cx="2734200" cy="459000"/>
          </a:xfrm>
          <a:prstGeom prst="straightConnector1">
            <a:avLst/>
          </a:prstGeom>
          <a:noFill/>
          <a:ln cap="flat" cmpd="sng" w="19050">
            <a:solidFill>
              <a:srgbClr val="FF0000"/>
            </a:solidFill>
            <a:prstDash val="dash"/>
            <a:round/>
            <a:headEnd len="med" w="med" type="none"/>
            <a:tailEnd len="med" w="med" type="none"/>
          </a:ln>
        </xdr:spPr>
      </xdr:cxnSp>
      <xdr:sp>
        <xdr:nvSpPr>
          <xdr:cNvPr id="78" name="Shape 78"/>
          <xdr:cNvSpPr txBox="1"/>
        </xdr:nvSpPr>
        <xdr:spPr>
          <a:xfrm>
            <a:off x="235675" y="1888975"/>
            <a:ext cx="2161500" cy="11478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292100" lvl="0" marL="457200" rtl="0" algn="l">
              <a:spcBef>
                <a:spcPts val="0"/>
              </a:spcBef>
              <a:spcAft>
                <a:spcPts val="0"/>
              </a:spcAft>
              <a:buSzPts val="1000"/>
              <a:buChar char="●"/>
            </a:pPr>
            <a:r>
              <a:rPr lang="en-US" sz="1000"/>
              <a:t>TICK OFF OPEN CALL TASK</a:t>
            </a:r>
            <a:endParaRPr sz="1000"/>
          </a:p>
          <a:p>
            <a:pPr indent="-292100" lvl="0" marL="457200" rtl="0" algn="l">
              <a:spcBef>
                <a:spcPts val="0"/>
              </a:spcBef>
              <a:spcAft>
                <a:spcPts val="0"/>
              </a:spcAft>
              <a:buSzPts val="1000"/>
              <a:buChar char="●"/>
            </a:pPr>
            <a:r>
              <a:rPr lang="en-US" sz="1000"/>
              <a:t>CHANGE THE LEAD STATUS TO </a:t>
            </a:r>
            <a:r>
              <a:rPr i="1" lang="en-US" sz="1000"/>
              <a:t>‘DEAD-SPAM’</a:t>
            </a:r>
            <a:endParaRPr i="1" sz="1000"/>
          </a:p>
          <a:p>
            <a:pPr indent="-292100" lvl="0" marL="457200" rtl="0" algn="l">
              <a:spcBef>
                <a:spcPts val="0"/>
              </a:spcBef>
              <a:spcAft>
                <a:spcPts val="0"/>
              </a:spcAft>
              <a:buSzPts val="1000"/>
              <a:buChar char="●"/>
            </a:pPr>
            <a:r>
              <a:rPr lang="en-US" sz="1000"/>
              <a:t>LEAVE CRM NOTES </a:t>
            </a:r>
            <a:endParaRPr i="1" sz="1000"/>
          </a:p>
        </xdr:txBody>
      </xdr:sp>
      <xdr:cxnSp>
        <xdr:nvCxnSpPr>
          <xdr:cNvPr id="79" name="Shape 79"/>
          <xdr:cNvCxnSpPr>
            <a:stCxn id="76" idx="1"/>
            <a:endCxn id="78" idx="3"/>
          </xdr:cNvCxnSpPr>
        </xdr:nvCxnSpPr>
        <xdr:spPr>
          <a:xfrm flipH="1">
            <a:off x="2397150" y="2280500"/>
            <a:ext cx="655800" cy="182400"/>
          </a:xfrm>
          <a:prstGeom prst="straightConnector1">
            <a:avLst/>
          </a:prstGeom>
          <a:noFill/>
          <a:ln cap="flat" cmpd="sng" w="19050">
            <a:solidFill>
              <a:srgbClr val="4A86E8"/>
            </a:solidFill>
            <a:prstDash val="solid"/>
            <a:round/>
            <a:headEnd len="med" w="med" type="none"/>
            <a:tailEnd len="med" w="med" type="triangle"/>
          </a:ln>
        </xdr:spPr>
      </xdr:cxnSp>
      <xdr:sp>
        <xdr:nvSpPr>
          <xdr:cNvPr id="80" name="Shape 80"/>
          <xdr:cNvSpPr txBox="1"/>
        </xdr:nvSpPr>
        <xdr:spPr>
          <a:xfrm>
            <a:off x="1873575" y="756147"/>
            <a:ext cx="1488600" cy="8475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1ST CALL ATTEMPT</a:t>
            </a:r>
            <a:endParaRPr sz="1200"/>
          </a:p>
        </xdr:txBody>
      </xdr:sp>
      <xdr:cxnSp>
        <xdr:nvCxnSpPr>
          <xdr:cNvPr id="81" name="Shape 81"/>
          <xdr:cNvCxnSpPr>
            <a:stCxn id="70" idx="3"/>
            <a:endCxn id="80" idx="1"/>
          </xdr:cNvCxnSpPr>
        </xdr:nvCxnSpPr>
        <xdr:spPr>
          <a:xfrm>
            <a:off x="1488588" y="1179897"/>
            <a:ext cx="384900" cy="0"/>
          </a:xfrm>
          <a:prstGeom prst="straightConnector1">
            <a:avLst/>
          </a:prstGeom>
          <a:noFill/>
          <a:ln cap="flat" cmpd="sng" w="19050">
            <a:solidFill>
              <a:srgbClr val="4A86E8"/>
            </a:solidFill>
            <a:prstDash val="solid"/>
            <a:round/>
            <a:headEnd len="med" w="med" type="none"/>
            <a:tailEnd len="med" w="med" type="triangle"/>
          </a:ln>
        </xdr:spPr>
      </xdr:cxnSp>
      <xdr:cxnSp>
        <xdr:nvCxnSpPr>
          <xdr:cNvPr id="82" name="Shape 82"/>
          <xdr:cNvCxnSpPr>
            <a:stCxn id="80" idx="3"/>
            <a:endCxn id="72" idx="1"/>
          </xdr:cNvCxnSpPr>
        </xdr:nvCxnSpPr>
        <xdr:spPr>
          <a:xfrm>
            <a:off x="3362175" y="1179897"/>
            <a:ext cx="384900" cy="0"/>
          </a:xfrm>
          <a:prstGeom prst="straightConnector1">
            <a:avLst/>
          </a:prstGeom>
          <a:noFill/>
          <a:ln cap="flat" cmpd="sng" w="19050">
            <a:solidFill>
              <a:srgbClr val="FF0000"/>
            </a:solidFill>
            <a:prstDash val="dash"/>
            <a:round/>
            <a:headEnd len="med" w="med" type="none"/>
            <a:tailEnd len="med" w="med" type="none"/>
          </a:ln>
        </xdr:spPr>
      </xdr:cxnSp>
      <xdr:cxnSp>
        <xdr:nvCxnSpPr>
          <xdr:cNvPr id="83" name="Shape 83"/>
          <xdr:cNvCxnSpPr>
            <a:stCxn id="73" idx="2"/>
            <a:endCxn id="75" idx="0"/>
          </xdr:cNvCxnSpPr>
        </xdr:nvCxnSpPr>
        <xdr:spPr>
          <a:xfrm flipH="1">
            <a:off x="6277965" y="1603647"/>
            <a:ext cx="253500" cy="285300"/>
          </a:xfrm>
          <a:prstGeom prst="straightConnector1">
            <a:avLst/>
          </a:prstGeom>
          <a:noFill/>
          <a:ln cap="flat" cmpd="sng" w="19050">
            <a:solidFill>
              <a:srgbClr val="4A86E8"/>
            </a:solidFill>
            <a:prstDash val="solid"/>
            <a:round/>
            <a:headEnd len="med" w="med" type="none"/>
            <a:tailEnd len="med" w="med" type="triangle"/>
          </a:ln>
        </xdr:spPr>
      </xdr:cxnSp>
    </xdr:grpSp>
    <xdr:clientData fLocksWithSheet="0"/>
  </xdr:oneCellAnchor>
  <xdr:oneCellAnchor>
    <xdr:from>
      <xdr:col>9</xdr:col>
      <xdr:colOff>161925</xdr:colOff>
      <xdr:row>56</xdr:row>
      <xdr:rowOff>190500</xdr:rowOff>
    </xdr:from>
    <xdr:ext cx="6391275" cy="3619500"/>
    <xdr:grpSp>
      <xdr:nvGrpSpPr>
        <xdr:cNvPr id="2" name="Shape 2" title="Drawing"/>
        <xdr:cNvGrpSpPr/>
      </xdr:nvGrpSpPr>
      <xdr:grpSpPr>
        <a:xfrm>
          <a:off x="-12" y="-487652"/>
          <a:ext cx="6145747" cy="4143662"/>
          <a:chOff x="-12" y="-487652"/>
          <a:chExt cx="6145747" cy="4143662"/>
        </a:xfrm>
      </xdr:grpSpPr>
      <xdr:sp>
        <xdr:nvSpPr>
          <xdr:cNvPr id="84" name="Shape 84"/>
          <xdr:cNvSpPr txBox="1"/>
        </xdr:nvSpPr>
        <xdr:spPr>
          <a:xfrm>
            <a:off x="-12" y="294647"/>
            <a:ext cx="1488600" cy="8475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PRE-CALL PREPARATIONS</a:t>
            </a:r>
            <a:endParaRPr sz="1200"/>
          </a:p>
        </xdr:txBody>
      </xdr:sp>
      <xdr:sp>
        <xdr:nvSpPr>
          <xdr:cNvPr id="85" name="Shape 85"/>
          <xdr:cNvSpPr txBox="1"/>
        </xdr:nvSpPr>
        <xdr:spPr>
          <a:xfrm>
            <a:off x="2043780" y="294598"/>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1ST CALL ATTEMPT</a:t>
            </a:r>
            <a:endParaRPr sz="1200"/>
          </a:p>
        </xdr:txBody>
      </xdr:sp>
      <xdr:cxnSp>
        <xdr:nvCxnSpPr>
          <xdr:cNvPr id="86" name="Shape 86"/>
          <xdr:cNvCxnSpPr>
            <a:stCxn id="84" idx="3"/>
            <a:endCxn id="85" idx="1"/>
          </xdr:cNvCxnSpPr>
        </xdr:nvCxnSpPr>
        <xdr:spPr>
          <a:xfrm>
            <a:off x="1488588" y="718397"/>
            <a:ext cx="555300" cy="0"/>
          </a:xfrm>
          <a:prstGeom prst="straightConnector1">
            <a:avLst/>
          </a:prstGeom>
          <a:noFill/>
          <a:ln cap="flat" cmpd="sng" w="19050">
            <a:solidFill>
              <a:srgbClr val="4A86E8"/>
            </a:solidFill>
            <a:prstDash val="solid"/>
            <a:round/>
            <a:headEnd len="med" w="med" type="none"/>
            <a:tailEnd len="med" w="med" type="triangle"/>
          </a:ln>
        </xdr:spPr>
      </xdr:cxnSp>
      <xdr:sp>
        <xdr:nvSpPr>
          <xdr:cNvPr id="87" name="Shape 87"/>
          <xdr:cNvSpPr txBox="1"/>
        </xdr:nvSpPr>
        <xdr:spPr>
          <a:xfrm>
            <a:off x="2788123" y="1664060"/>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ALREADY PUBLISHED, NO OTHER BOOKS</a:t>
            </a:r>
            <a:endParaRPr sz="1200"/>
          </a:p>
        </xdr:txBody>
      </xdr:sp>
      <xdr:cxnSp>
        <xdr:nvCxnSpPr>
          <xdr:cNvPr id="88" name="Shape 88"/>
          <xdr:cNvCxnSpPr>
            <a:stCxn id="85" idx="2"/>
            <a:endCxn id="87" idx="0"/>
          </xdr:cNvCxnSpPr>
        </xdr:nvCxnSpPr>
        <xdr:spPr>
          <a:xfrm>
            <a:off x="2788080" y="1142098"/>
            <a:ext cx="744300" cy="522000"/>
          </a:xfrm>
          <a:prstGeom prst="straightConnector1">
            <a:avLst/>
          </a:prstGeom>
          <a:noFill/>
          <a:ln cap="flat" cmpd="sng" w="19050">
            <a:solidFill>
              <a:srgbClr val="00FF00"/>
            </a:solidFill>
            <a:prstDash val="solid"/>
            <a:round/>
            <a:headEnd len="med" w="med" type="none"/>
            <a:tailEnd len="med" w="med" type="triangle"/>
          </a:ln>
        </xdr:spPr>
      </xdr:cxnSp>
      <xdr:sp>
        <xdr:nvSpPr>
          <xdr:cNvPr id="89" name="Shape 89"/>
          <xdr:cNvSpPr txBox="1"/>
        </xdr:nvSpPr>
        <xdr:spPr>
          <a:xfrm>
            <a:off x="4657123" y="1664048"/>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ALREADY PUBLISHED, W/ OTHER BOOKS</a:t>
            </a:r>
            <a:endParaRPr sz="1200"/>
          </a:p>
        </xdr:txBody>
      </xdr:sp>
      <xdr:sp>
        <xdr:nvSpPr>
          <xdr:cNvPr id="90" name="Shape 90"/>
          <xdr:cNvSpPr txBox="1"/>
        </xdr:nvSpPr>
        <xdr:spPr>
          <a:xfrm>
            <a:off x="4657135" y="2808510"/>
            <a:ext cx="1488600" cy="847500"/>
          </a:xfrm>
          <a:prstGeom prst="rect">
            <a:avLst/>
          </a:prstGeom>
          <a:solidFill>
            <a:srgbClr val="FF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PROCEED WITH CONSULTATION</a:t>
            </a:r>
            <a:endParaRPr sz="1200"/>
          </a:p>
        </xdr:txBody>
      </xdr:sp>
      <xdr:sp>
        <xdr:nvSpPr>
          <xdr:cNvPr id="91" name="Shape 91"/>
          <xdr:cNvSpPr txBox="1"/>
        </xdr:nvSpPr>
        <xdr:spPr>
          <a:xfrm>
            <a:off x="4657130" y="294598"/>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2ND CALL ATTEMPT</a:t>
            </a:r>
            <a:endParaRPr sz="1200"/>
          </a:p>
        </xdr:txBody>
      </xdr:sp>
      <xdr:sp>
        <xdr:nvSpPr>
          <xdr:cNvPr id="92" name="Shape 92"/>
          <xdr:cNvSpPr txBox="1"/>
        </xdr:nvSpPr>
        <xdr:spPr>
          <a:xfrm>
            <a:off x="0" y="1664050"/>
            <a:ext cx="2533200" cy="12975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292100" lvl="0" marL="457200" rtl="0" algn="l">
              <a:spcBef>
                <a:spcPts val="0"/>
              </a:spcBef>
              <a:spcAft>
                <a:spcPts val="0"/>
              </a:spcAft>
              <a:buSzPts val="1000"/>
              <a:buChar char="●"/>
            </a:pPr>
            <a:r>
              <a:rPr lang="en-US" sz="1000"/>
              <a:t>TICK OFF OPEN CALL TASK</a:t>
            </a:r>
            <a:endParaRPr sz="1000"/>
          </a:p>
          <a:p>
            <a:pPr indent="-292100" lvl="0" marL="457200" rtl="0" algn="l">
              <a:spcBef>
                <a:spcPts val="0"/>
              </a:spcBef>
              <a:spcAft>
                <a:spcPts val="0"/>
              </a:spcAft>
              <a:buSzPts val="1000"/>
              <a:buChar char="●"/>
            </a:pPr>
            <a:r>
              <a:rPr lang="en-US" sz="1000"/>
              <a:t>CHANGE THE LEAD STATUS TO </a:t>
            </a:r>
            <a:r>
              <a:rPr i="1" lang="en-US" sz="1000"/>
              <a:t>“LOW VALUE/DEAD-LOST TO COMPETITION”</a:t>
            </a:r>
            <a:endParaRPr i="1" sz="1000"/>
          </a:p>
          <a:p>
            <a:pPr indent="-292100" lvl="0" marL="457200" rtl="0" algn="l">
              <a:spcBef>
                <a:spcPts val="0"/>
              </a:spcBef>
              <a:spcAft>
                <a:spcPts val="0"/>
              </a:spcAft>
              <a:buSzPts val="1000"/>
              <a:buChar char="●"/>
            </a:pPr>
            <a:r>
              <a:rPr lang="en-US" sz="1000"/>
              <a:t>LEAVE PERTINENT NOTES</a:t>
            </a:r>
            <a:endParaRPr i="1" sz="1000"/>
          </a:p>
        </xdr:txBody>
      </xdr:sp>
      <xdr:cxnSp>
        <xdr:nvCxnSpPr>
          <xdr:cNvPr id="93" name="Shape 93"/>
          <xdr:cNvCxnSpPr>
            <a:stCxn id="85" idx="0"/>
            <a:endCxn id="89" idx="3"/>
          </xdr:cNvCxnSpPr>
        </xdr:nvCxnSpPr>
        <xdr:spPr>
          <a:xfrm flipH="1" rot="-5400000">
            <a:off x="3570330" y="-487652"/>
            <a:ext cx="1793100" cy="3357600"/>
          </a:xfrm>
          <a:prstGeom prst="bentConnector4">
            <a:avLst>
              <a:gd fmla="val -13280" name="adj1"/>
              <a:gd fmla="val 107093" name="adj2"/>
            </a:avLst>
          </a:prstGeom>
          <a:noFill/>
          <a:ln cap="flat" cmpd="sng" w="19050">
            <a:solidFill>
              <a:srgbClr val="00FF00"/>
            </a:solidFill>
            <a:prstDash val="solid"/>
            <a:round/>
            <a:headEnd len="med" w="med" type="none"/>
            <a:tailEnd len="med" w="med" type="triangle"/>
          </a:ln>
        </xdr:spPr>
      </xdr:cxnSp>
      <xdr:cxnSp>
        <xdr:nvCxnSpPr>
          <xdr:cNvPr id="94" name="Shape 94"/>
          <xdr:cNvCxnSpPr>
            <a:stCxn id="85" idx="3"/>
            <a:endCxn id="91" idx="1"/>
          </xdr:cNvCxnSpPr>
        </xdr:nvCxnSpPr>
        <xdr:spPr>
          <a:xfrm>
            <a:off x="3532380" y="718348"/>
            <a:ext cx="1124700" cy="0"/>
          </a:xfrm>
          <a:prstGeom prst="straightConnector1">
            <a:avLst/>
          </a:prstGeom>
          <a:noFill/>
          <a:ln cap="flat" cmpd="sng" w="19050">
            <a:solidFill>
              <a:srgbClr val="FF0000"/>
            </a:solidFill>
            <a:prstDash val="solid"/>
            <a:round/>
            <a:headEnd len="med" w="med" type="none"/>
            <a:tailEnd len="med" w="med" type="triangle"/>
          </a:ln>
        </xdr:spPr>
      </xdr:cxnSp>
      <xdr:cxnSp>
        <xdr:nvCxnSpPr>
          <xdr:cNvPr id="95" name="Shape 95"/>
          <xdr:cNvCxnSpPr>
            <a:stCxn id="91" idx="2"/>
            <a:endCxn id="89" idx="0"/>
          </xdr:cNvCxnSpPr>
        </xdr:nvCxnSpPr>
        <xdr:spPr>
          <a:xfrm>
            <a:off x="5401430" y="1142098"/>
            <a:ext cx="0" cy="522000"/>
          </a:xfrm>
          <a:prstGeom prst="straightConnector1">
            <a:avLst/>
          </a:prstGeom>
          <a:noFill/>
          <a:ln cap="flat" cmpd="sng" w="19050">
            <a:solidFill>
              <a:srgbClr val="00FF00"/>
            </a:solidFill>
            <a:prstDash val="solid"/>
            <a:round/>
            <a:headEnd len="med" w="med" type="none"/>
            <a:tailEnd len="med" w="med" type="triangle"/>
          </a:ln>
        </xdr:spPr>
      </xdr:cxnSp>
      <xdr:cxnSp>
        <xdr:nvCxnSpPr>
          <xdr:cNvPr id="96" name="Shape 96"/>
          <xdr:cNvCxnSpPr>
            <a:stCxn id="91" idx="2"/>
            <a:endCxn id="87" idx="0"/>
          </xdr:cNvCxnSpPr>
        </xdr:nvCxnSpPr>
        <xdr:spPr>
          <a:xfrm rot="5400000">
            <a:off x="4205930" y="468598"/>
            <a:ext cx="522000" cy="1869000"/>
          </a:xfrm>
          <a:prstGeom prst="bentConnector3">
            <a:avLst>
              <a:gd fmla="val 49996" name="adj1"/>
            </a:avLst>
          </a:prstGeom>
          <a:noFill/>
          <a:ln cap="flat" cmpd="sng" w="19050">
            <a:solidFill>
              <a:srgbClr val="00FF00"/>
            </a:solidFill>
            <a:prstDash val="solid"/>
            <a:round/>
            <a:headEnd len="med" w="med" type="none"/>
            <a:tailEnd len="med" w="med" type="triangle"/>
          </a:ln>
        </xdr:spPr>
      </xdr:cxnSp>
      <xdr:sp>
        <xdr:nvSpPr>
          <xdr:cNvPr id="97" name="Shape 97"/>
          <xdr:cNvSpPr txBox="1"/>
        </xdr:nvSpPr>
        <xdr:spPr>
          <a:xfrm>
            <a:off x="2788123" y="2808510"/>
            <a:ext cx="1488600" cy="8475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OFFER STAND-ALONE MARKETING SERVICES</a:t>
            </a:r>
            <a:endParaRPr sz="1200"/>
          </a:p>
        </xdr:txBody>
      </xdr:sp>
      <xdr:cxnSp>
        <xdr:nvCxnSpPr>
          <xdr:cNvPr id="98" name="Shape 98"/>
          <xdr:cNvCxnSpPr>
            <a:stCxn id="89" idx="2"/>
            <a:endCxn id="90" idx="0"/>
          </xdr:cNvCxnSpPr>
        </xdr:nvCxnSpPr>
        <xdr:spPr>
          <a:xfrm>
            <a:off x="5401423" y="2511548"/>
            <a:ext cx="0" cy="297000"/>
          </a:xfrm>
          <a:prstGeom prst="straightConnector1">
            <a:avLst/>
          </a:prstGeom>
          <a:noFill/>
          <a:ln cap="flat" cmpd="sng" w="19050">
            <a:solidFill>
              <a:srgbClr val="00FF00"/>
            </a:solidFill>
            <a:prstDash val="solid"/>
            <a:round/>
            <a:headEnd len="med" w="med" type="none"/>
            <a:tailEnd len="med" w="med" type="triangle"/>
          </a:ln>
        </xdr:spPr>
      </xdr:cxnSp>
      <xdr:cxnSp>
        <xdr:nvCxnSpPr>
          <xdr:cNvPr id="99" name="Shape 99"/>
          <xdr:cNvCxnSpPr>
            <a:stCxn id="87" idx="2"/>
            <a:endCxn id="97" idx="0"/>
          </xdr:cNvCxnSpPr>
        </xdr:nvCxnSpPr>
        <xdr:spPr>
          <a:xfrm>
            <a:off x="3532423" y="2511560"/>
            <a:ext cx="0" cy="2970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00" name="Shape 100"/>
          <xdr:cNvCxnSpPr>
            <a:stCxn id="97" idx="3"/>
            <a:endCxn id="90" idx="1"/>
          </xdr:cNvCxnSpPr>
        </xdr:nvCxnSpPr>
        <xdr:spPr>
          <a:xfrm>
            <a:off x="4276723" y="3232260"/>
            <a:ext cx="380400" cy="0"/>
          </a:xfrm>
          <a:prstGeom prst="straightConnector1">
            <a:avLst/>
          </a:prstGeom>
          <a:noFill/>
          <a:ln cap="flat" cmpd="sng" w="19050">
            <a:solidFill>
              <a:srgbClr val="00FF00"/>
            </a:solidFill>
            <a:prstDash val="solid"/>
            <a:round/>
            <a:headEnd len="med" w="med" type="none"/>
            <a:tailEnd len="med" w="med" type="triangle"/>
          </a:ln>
        </xdr:spPr>
      </xdr:cxnSp>
      <xdr:cxnSp>
        <xdr:nvCxnSpPr>
          <xdr:cNvPr id="101" name="Shape 101"/>
          <xdr:cNvCxnSpPr>
            <a:stCxn id="97" idx="1"/>
            <a:endCxn id="92" idx="2"/>
          </xdr:cNvCxnSpPr>
        </xdr:nvCxnSpPr>
        <xdr:spPr>
          <a:xfrm rot="10800000">
            <a:off x="1266523" y="2961660"/>
            <a:ext cx="1521600" cy="270600"/>
          </a:xfrm>
          <a:prstGeom prst="bentConnector2">
            <a:avLst/>
          </a:prstGeom>
          <a:noFill/>
          <a:ln cap="flat" cmpd="sng" w="19050">
            <a:solidFill>
              <a:srgbClr val="FF0000"/>
            </a:solidFill>
            <a:prstDash val="solid"/>
            <a:round/>
            <a:headEnd len="med" w="med" type="none"/>
            <a:tailEnd len="med" w="med" type="triangle"/>
          </a:ln>
        </xdr:spPr>
      </xdr:cxnSp>
    </xdr:grpSp>
    <xdr:clientData fLocksWithSheet="0"/>
  </xdr:oneCellAnchor>
  <xdr:oneCellAnchor>
    <xdr:from>
      <xdr:col>1</xdr:col>
      <xdr:colOff>38100</xdr:colOff>
      <xdr:row>56</xdr:row>
      <xdr:rowOff>28575</xdr:rowOff>
    </xdr:from>
    <xdr:ext cx="6657975" cy="3905250"/>
    <xdr:grpSp>
      <xdr:nvGrpSpPr>
        <xdr:cNvPr id="2" name="Shape 2" title="Drawing"/>
        <xdr:cNvGrpSpPr/>
      </xdr:nvGrpSpPr>
      <xdr:grpSpPr>
        <a:xfrm>
          <a:off x="0" y="0"/>
          <a:ext cx="7588025" cy="4417032"/>
          <a:chOff x="0" y="0"/>
          <a:chExt cx="7588025" cy="4417032"/>
        </a:xfrm>
      </xdr:grpSpPr>
      <xdr:sp>
        <xdr:nvSpPr>
          <xdr:cNvPr id="102" name="Shape 102"/>
          <xdr:cNvSpPr txBox="1"/>
        </xdr:nvSpPr>
        <xdr:spPr>
          <a:xfrm>
            <a:off x="6" y="73"/>
            <a:ext cx="1510200" cy="12459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PRE-CALL PREPARATIONS</a:t>
            </a:r>
            <a:endParaRPr sz="1200"/>
          </a:p>
        </xdr:txBody>
      </xdr:sp>
      <xdr:sp>
        <xdr:nvSpPr>
          <xdr:cNvPr id="103" name="Shape 103"/>
          <xdr:cNvSpPr txBox="1"/>
        </xdr:nvSpPr>
        <xdr:spPr>
          <a:xfrm>
            <a:off x="2073720" y="1"/>
            <a:ext cx="1510200" cy="12459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1ST CALL ATTEMPT</a:t>
            </a:r>
            <a:endParaRPr sz="1200"/>
          </a:p>
        </xdr:txBody>
      </xdr:sp>
      <xdr:cxnSp>
        <xdr:nvCxnSpPr>
          <xdr:cNvPr id="104" name="Shape 104"/>
          <xdr:cNvCxnSpPr>
            <a:stCxn id="102" idx="3"/>
            <a:endCxn id="103" idx="1"/>
          </xdr:cNvCxnSpPr>
        </xdr:nvCxnSpPr>
        <xdr:spPr>
          <a:xfrm>
            <a:off x="1510206" y="623023"/>
            <a:ext cx="563400" cy="0"/>
          </a:xfrm>
          <a:prstGeom prst="straightConnector1">
            <a:avLst/>
          </a:prstGeom>
          <a:noFill/>
          <a:ln cap="flat" cmpd="sng" w="19050">
            <a:solidFill>
              <a:srgbClr val="4A86E8"/>
            </a:solidFill>
            <a:prstDash val="solid"/>
            <a:round/>
            <a:headEnd len="med" w="med" type="none"/>
            <a:tailEnd len="med" w="med" type="triangle"/>
          </a:ln>
        </xdr:spPr>
      </xdr:cxnSp>
      <xdr:sp>
        <xdr:nvSpPr>
          <xdr:cNvPr id="105" name="Shape 105"/>
          <xdr:cNvSpPr txBox="1"/>
        </xdr:nvSpPr>
        <xdr:spPr>
          <a:xfrm>
            <a:off x="3375253" y="1556866"/>
            <a:ext cx="1510200" cy="12459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WRONG NUMBER</a:t>
            </a:r>
            <a:endParaRPr sz="1200"/>
          </a:p>
        </xdr:txBody>
      </xdr:sp>
      <xdr:cxnSp>
        <xdr:nvCxnSpPr>
          <xdr:cNvPr id="106" name="Shape 106"/>
          <xdr:cNvCxnSpPr>
            <a:stCxn id="103" idx="2"/>
            <a:endCxn id="105" idx="0"/>
          </xdr:cNvCxnSpPr>
        </xdr:nvCxnSpPr>
        <xdr:spPr>
          <a:xfrm>
            <a:off x="2828820" y="1245901"/>
            <a:ext cx="1301400" cy="311100"/>
          </a:xfrm>
          <a:prstGeom prst="straightConnector1">
            <a:avLst/>
          </a:prstGeom>
          <a:noFill/>
          <a:ln cap="flat" cmpd="sng" w="19050">
            <a:solidFill>
              <a:srgbClr val="00FF00"/>
            </a:solidFill>
            <a:prstDash val="solid"/>
            <a:round/>
            <a:headEnd len="med" w="med" type="none"/>
            <a:tailEnd len="med" w="med" type="triangle"/>
          </a:ln>
        </xdr:spPr>
      </xdr:cxnSp>
      <xdr:sp>
        <xdr:nvSpPr>
          <xdr:cNvPr id="107" name="Shape 107"/>
          <xdr:cNvSpPr txBox="1"/>
        </xdr:nvSpPr>
        <xdr:spPr>
          <a:xfrm>
            <a:off x="2621200" y="3246425"/>
            <a:ext cx="2403000" cy="10953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292100" lvl="0" marL="457200" rtl="0" algn="l">
              <a:spcBef>
                <a:spcPts val="0"/>
              </a:spcBef>
              <a:spcAft>
                <a:spcPts val="0"/>
              </a:spcAft>
              <a:buSzPts val="1000"/>
              <a:buChar char="●"/>
            </a:pPr>
            <a:r>
              <a:rPr lang="en-US" sz="1000"/>
              <a:t>TICK OFF OPEN CALL TASK</a:t>
            </a:r>
            <a:endParaRPr sz="1000"/>
          </a:p>
          <a:p>
            <a:pPr indent="-292100" lvl="0" marL="457200" rtl="0" algn="l">
              <a:spcBef>
                <a:spcPts val="0"/>
              </a:spcBef>
              <a:spcAft>
                <a:spcPts val="0"/>
              </a:spcAft>
              <a:buSzPts val="1000"/>
              <a:buChar char="●"/>
            </a:pPr>
            <a:r>
              <a:rPr lang="en-US" sz="1000"/>
              <a:t>CHANGE THE LEAD STATUS TO </a:t>
            </a:r>
            <a:r>
              <a:rPr i="1" lang="en-US" sz="1000"/>
              <a:t>“LOW VALUE-OTHERS”</a:t>
            </a:r>
            <a:endParaRPr i="1" sz="1000"/>
          </a:p>
          <a:p>
            <a:pPr indent="-292100" lvl="0" marL="457200" rtl="0" algn="l">
              <a:spcBef>
                <a:spcPts val="0"/>
              </a:spcBef>
              <a:spcAft>
                <a:spcPts val="0"/>
              </a:spcAft>
              <a:buSzPts val="1000"/>
              <a:buChar char="●"/>
            </a:pPr>
            <a:r>
              <a:rPr lang="en-US" sz="1000"/>
              <a:t>LEAVE PERTINENT NOTES</a:t>
            </a:r>
            <a:endParaRPr sz="1000"/>
          </a:p>
        </xdr:txBody>
      </xdr:sp>
      <xdr:sp>
        <xdr:nvSpPr>
          <xdr:cNvPr id="108" name="Shape 108"/>
          <xdr:cNvSpPr txBox="1"/>
        </xdr:nvSpPr>
        <xdr:spPr>
          <a:xfrm>
            <a:off x="4061765" y="10"/>
            <a:ext cx="1510200" cy="12459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AUTHOR NOT AVAILABLE</a:t>
            </a:r>
            <a:endParaRPr sz="1200"/>
          </a:p>
        </xdr:txBody>
      </xdr:sp>
      <xdr:sp>
        <xdr:nvSpPr>
          <xdr:cNvPr id="109" name="Shape 109"/>
          <xdr:cNvSpPr txBox="1"/>
        </xdr:nvSpPr>
        <xdr:spPr>
          <a:xfrm>
            <a:off x="107825" y="3322623"/>
            <a:ext cx="1510200" cy="942900"/>
          </a:xfrm>
          <a:prstGeom prst="rect">
            <a:avLst/>
          </a:prstGeom>
          <a:solidFill>
            <a:srgbClr val="FF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PROCEED WITH CONSULTATION </a:t>
            </a:r>
            <a:endParaRPr sz="1200"/>
          </a:p>
        </xdr:txBody>
      </xdr:sp>
      <xdr:sp>
        <xdr:nvSpPr>
          <xdr:cNvPr id="110" name="Shape 110"/>
          <xdr:cNvSpPr txBox="1"/>
        </xdr:nvSpPr>
        <xdr:spPr>
          <a:xfrm>
            <a:off x="6049813" y="0"/>
            <a:ext cx="1510200" cy="12459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LEAVE MESSAGE/CALLBACK</a:t>
            </a:r>
            <a:endParaRPr sz="1200"/>
          </a:p>
        </xdr:txBody>
      </xdr:sp>
      <xdr:sp>
        <xdr:nvSpPr>
          <xdr:cNvPr id="111" name="Shape 111"/>
          <xdr:cNvSpPr txBox="1"/>
        </xdr:nvSpPr>
        <xdr:spPr>
          <a:xfrm>
            <a:off x="5665171" y="3171132"/>
            <a:ext cx="1510200" cy="1245900"/>
          </a:xfrm>
          <a:prstGeom prst="rect">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SEND CALENDLY LINK/INTRO EMAIL</a:t>
            </a:r>
            <a:endParaRPr sz="1200"/>
          </a:p>
        </xdr:txBody>
      </xdr:sp>
      <xdr:sp>
        <xdr:nvSpPr>
          <xdr:cNvPr id="112" name="Shape 112"/>
          <xdr:cNvSpPr txBox="1"/>
        </xdr:nvSpPr>
        <xdr:spPr>
          <a:xfrm>
            <a:off x="0" y="1556855"/>
            <a:ext cx="1510200" cy="12459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CHILD AUTHOR</a:t>
            </a:r>
            <a:endParaRPr sz="1200"/>
          </a:p>
        </xdr:txBody>
      </xdr:sp>
      <xdr:cxnSp>
        <xdr:nvCxnSpPr>
          <xdr:cNvPr id="113" name="Shape 113"/>
          <xdr:cNvCxnSpPr>
            <a:stCxn id="103" idx="2"/>
            <a:endCxn id="112" idx="0"/>
          </xdr:cNvCxnSpPr>
        </xdr:nvCxnSpPr>
        <xdr:spPr>
          <a:xfrm rot="5400000">
            <a:off x="1636470" y="364651"/>
            <a:ext cx="311100" cy="2073600"/>
          </a:xfrm>
          <a:prstGeom prst="bentConnector3">
            <a:avLst>
              <a:gd fmla="val 50012" name="adj1"/>
            </a:avLst>
          </a:prstGeom>
          <a:noFill/>
          <a:ln cap="flat" cmpd="sng" w="19050">
            <a:solidFill>
              <a:srgbClr val="00FF00"/>
            </a:solidFill>
            <a:prstDash val="solid"/>
            <a:round/>
            <a:headEnd len="med" w="med" type="none"/>
            <a:tailEnd len="med" w="med" type="triangle"/>
          </a:ln>
        </xdr:spPr>
      </xdr:cxnSp>
      <xdr:cxnSp>
        <xdr:nvCxnSpPr>
          <xdr:cNvPr id="114" name="Shape 114"/>
          <xdr:cNvCxnSpPr>
            <a:stCxn id="103" idx="3"/>
            <a:endCxn id="108" idx="1"/>
          </xdr:cNvCxnSpPr>
        </xdr:nvCxnSpPr>
        <xdr:spPr>
          <a:xfrm>
            <a:off x="3583920" y="622951"/>
            <a:ext cx="477900" cy="0"/>
          </a:xfrm>
          <a:prstGeom prst="straightConnector1">
            <a:avLst/>
          </a:prstGeom>
          <a:noFill/>
          <a:ln cap="flat" cmpd="sng" w="19050">
            <a:solidFill>
              <a:srgbClr val="00FF00"/>
            </a:solidFill>
            <a:prstDash val="solid"/>
            <a:round/>
            <a:headEnd len="med" w="med" type="none"/>
            <a:tailEnd len="med" w="med" type="triangle"/>
          </a:ln>
        </xdr:spPr>
      </xdr:cxnSp>
      <xdr:sp>
        <xdr:nvSpPr>
          <xdr:cNvPr id="115" name="Shape 115"/>
          <xdr:cNvSpPr txBox="1"/>
        </xdr:nvSpPr>
        <xdr:spPr>
          <a:xfrm>
            <a:off x="5252525" y="1556800"/>
            <a:ext cx="2335500" cy="10953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292100" lvl="0" marL="457200" rtl="0" algn="l">
              <a:spcBef>
                <a:spcPts val="0"/>
              </a:spcBef>
              <a:spcAft>
                <a:spcPts val="0"/>
              </a:spcAft>
              <a:buSzPts val="1000"/>
              <a:buChar char="●"/>
            </a:pPr>
            <a:r>
              <a:rPr lang="en-US" sz="1000"/>
              <a:t>TICK OFF OPEN CALL TASK</a:t>
            </a:r>
            <a:endParaRPr sz="1000"/>
          </a:p>
          <a:p>
            <a:pPr indent="-292100" lvl="0" marL="457200" rtl="0" algn="l">
              <a:spcBef>
                <a:spcPts val="0"/>
              </a:spcBef>
              <a:spcAft>
                <a:spcPts val="0"/>
              </a:spcAft>
              <a:buSzPts val="1000"/>
              <a:buChar char="●"/>
            </a:pPr>
            <a:r>
              <a:rPr lang="en-US" sz="1000"/>
              <a:t>CHANGE THE LEAD STATUS TO </a:t>
            </a:r>
            <a:r>
              <a:rPr i="1" lang="en-US" sz="1000"/>
              <a:t>‘COMMUNICATING’</a:t>
            </a:r>
            <a:endParaRPr i="1" sz="1000"/>
          </a:p>
          <a:p>
            <a:pPr indent="-292100" lvl="0" marL="457200" rtl="0" algn="l">
              <a:spcBef>
                <a:spcPts val="0"/>
              </a:spcBef>
              <a:spcAft>
                <a:spcPts val="0"/>
              </a:spcAft>
              <a:buSzPts val="1000"/>
              <a:buChar char="●"/>
            </a:pPr>
            <a:r>
              <a:rPr lang="en-US" sz="1000"/>
              <a:t>LEAVE PERTINENT NOTES</a:t>
            </a:r>
            <a:endParaRPr sz="1000"/>
          </a:p>
        </xdr:txBody>
      </xdr:sp>
      <xdr:sp>
        <xdr:nvSpPr>
          <xdr:cNvPr id="116" name="Shape 116"/>
          <xdr:cNvSpPr txBox="1"/>
        </xdr:nvSpPr>
        <xdr:spPr>
          <a:xfrm>
            <a:off x="1687617" y="1573650"/>
            <a:ext cx="1510200" cy="1245900"/>
          </a:xfrm>
          <a:prstGeom prst="rect">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LOOK FOR PARENT/GUARDIAN</a:t>
            </a:r>
            <a:endParaRPr sz="1200"/>
          </a:p>
        </xdr:txBody>
      </xdr:sp>
      <xdr:cxnSp>
        <xdr:nvCxnSpPr>
          <xdr:cNvPr id="117" name="Shape 117"/>
          <xdr:cNvCxnSpPr>
            <a:stCxn id="112" idx="3"/>
            <a:endCxn id="116" idx="1"/>
          </xdr:cNvCxnSpPr>
        </xdr:nvCxnSpPr>
        <xdr:spPr>
          <a:xfrm>
            <a:off x="1510200" y="2179805"/>
            <a:ext cx="177300" cy="16800"/>
          </a:xfrm>
          <a:prstGeom prst="bentConnector3">
            <a:avLst>
              <a:gd fmla="val 50033" name="adj1"/>
            </a:avLst>
          </a:prstGeom>
          <a:noFill/>
          <a:ln cap="flat" cmpd="sng" w="19050">
            <a:solidFill>
              <a:srgbClr val="4A86E8"/>
            </a:solidFill>
            <a:prstDash val="solid"/>
            <a:round/>
            <a:headEnd len="med" w="med" type="none"/>
            <a:tailEnd len="med" w="med" type="triangle"/>
          </a:ln>
        </xdr:spPr>
      </xdr:cxnSp>
      <xdr:cxnSp>
        <xdr:nvCxnSpPr>
          <xdr:cNvPr id="118" name="Shape 118"/>
          <xdr:cNvCxnSpPr>
            <a:stCxn id="116" idx="2"/>
            <a:endCxn id="109" idx="3"/>
          </xdr:cNvCxnSpPr>
        </xdr:nvCxnSpPr>
        <xdr:spPr>
          <a:xfrm flipH="1">
            <a:off x="1618017" y="2819550"/>
            <a:ext cx="824700" cy="9744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19" name="Shape 119"/>
          <xdr:cNvCxnSpPr>
            <a:stCxn id="116" idx="2"/>
            <a:endCxn id="107" idx="0"/>
          </xdr:cNvCxnSpPr>
        </xdr:nvCxnSpPr>
        <xdr:spPr>
          <a:xfrm>
            <a:off x="2442717" y="2819550"/>
            <a:ext cx="1380000" cy="426900"/>
          </a:xfrm>
          <a:prstGeom prst="straightConnector1">
            <a:avLst/>
          </a:prstGeom>
          <a:noFill/>
          <a:ln cap="flat" cmpd="sng" w="19050">
            <a:solidFill>
              <a:srgbClr val="FF0000"/>
            </a:solidFill>
            <a:prstDash val="solid"/>
            <a:round/>
            <a:headEnd len="med" w="med" type="none"/>
            <a:tailEnd len="med" w="med" type="triangle"/>
          </a:ln>
        </xdr:spPr>
      </xdr:cxnSp>
      <xdr:cxnSp>
        <xdr:nvCxnSpPr>
          <xdr:cNvPr id="120" name="Shape 120"/>
          <xdr:cNvCxnSpPr>
            <a:stCxn id="108" idx="3"/>
            <a:endCxn id="110" idx="1"/>
          </xdr:cNvCxnSpPr>
        </xdr:nvCxnSpPr>
        <xdr:spPr>
          <a:xfrm>
            <a:off x="5571965" y="622960"/>
            <a:ext cx="477900" cy="0"/>
          </a:xfrm>
          <a:prstGeom prst="straightConnector1">
            <a:avLst/>
          </a:prstGeom>
          <a:noFill/>
          <a:ln cap="flat" cmpd="sng" w="19050">
            <a:solidFill>
              <a:srgbClr val="4A86E8"/>
            </a:solidFill>
            <a:prstDash val="solid"/>
            <a:round/>
            <a:headEnd len="med" w="med" type="none"/>
            <a:tailEnd len="med" w="med" type="triangle"/>
          </a:ln>
        </xdr:spPr>
      </xdr:cxnSp>
      <xdr:cxnSp>
        <xdr:nvCxnSpPr>
          <xdr:cNvPr id="121" name="Shape 121"/>
          <xdr:cNvCxnSpPr>
            <a:stCxn id="108" idx="2"/>
            <a:endCxn id="115" idx="1"/>
          </xdr:cNvCxnSpPr>
        </xdr:nvCxnSpPr>
        <xdr:spPr>
          <a:xfrm>
            <a:off x="4816865" y="1245910"/>
            <a:ext cx="435600" cy="8586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22" name="Shape 122"/>
          <xdr:cNvCxnSpPr>
            <a:stCxn id="110" idx="2"/>
            <a:endCxn id="115" idx="0"/>
          </xdr:cNvCxnSpPr>
        </xdr:nvCxnSpPr>
        <xdr:spPr>
          <a:xfrm flipH="1">
            <a:off x="6420313" y="1245900"/>
            <a:ext cx="384600" cy="3108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23" name="Shape 123"/>
          <xdr:cNvCxnSpPr>
            <a:stCxn id="107" idx="3"/>
            <a:endCxn id="111" idx="1"/>
          </xdr:cNvCxnSpPr>
        </xdr:nvCxnSpPr>
        <xdr:spPr>
          <a:xfrm>
            <a:off x="5024200" y="3794075"/>
            <a:ext cx="641100" cy="0"/>
          </a:xfrm>
          <a:prstGeom prst="straightConnector1">
            <a:avLst/>
          </a:prstGeom>
          <a:noFill/>
          <a:ln cap="flat" cmpd="sng" w="19050">
            <a:solidFill>
              <a:srgbClr val="4A86E8"/>
            </a:solidFill>
            <a:prstDash val="solid"/>
            <a:round/>
            <a:headEnd len="med" w="med" type="none"/>
            <a:tailEnd len="med" w="med" type="triangle"/>
          </a:ln>
        </xdr:spPr>
      </xdr:cxnSp>
      <xdr:cxnSp>
        <xdr:nvCxnSpPr>
          <xdr:cNvPr id="124" name="Shape 124"/>
          <xdr:cNvCxnSpPr>
            <a:stCxn id="115" idx="2"/>
            <a:endCxn id="111" idx="0"/>
          </xdr:cNvCxnSpPr>
        </xdr:nvCxnSpPr>
        <xdr:spPr>
          <a:xfrm>
            <a:off x="6420275" y="2652100"/>
            <a:ext cx="0" cy="5190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25" name="Shape 125"/>
          <xdr:cNvCxnSpPr>
            <a:stCxn id="105" idx="2"/>
            <a:endCxn id="107" idx="0"/>
          </xdr:cNvCxnSpPr>
        </xdr:nvCxnSpPr>
        <xdr:spPr>
          <a:xfrm flipH="1">
            <a:off x="3822553" y="2802766"/>
            <a:ext cx="307800" cy="443700"/>
          </a:xfrm>
          <a:prstGeom prst="straightConnector1">
            <a:avLst/>
          </a:prstGeom>
          <a:noFill/>
          <a:ln cap="flat" cmpd="sng" w="19050">
            <a:solidFill>
              <a:srgbClr val="4A86E8"/>
            </a:solidFill>
            <a:prstDash val="solid"/>
            <a:round/>
            <a:headEnd len="med" w="med" type="none"/>
            <a:tailEnd len="med" w="med" type="triangle"/>
          </a:ln>
        </xdr:spPr>
      </xdr:cxnSp>
    </xdr:grpSp>
    <xdr:clientData fLocksWithSheet="0"/>
  </xdr:oneCellAnchor>
  <xdr:oneCellAnchor>
    <xdr:from>
      <xdr:col>0</xdr:col>
      <xdr:colOff>390525</xdr:colOff>
      <xdr:row>111</xdr:row>
      <xdr:rowOff>38100</xdr:rowOff>
    </xdr:from>
    <xdr:ext cx="6705600" cy="5067300"/>
    <xdr:grpSp>
      <xdr:nvGrpSpPr>
        <xdr:cNvPr id="2" name="Shape 2" title="Drawing"/>
        <xdr:cNvGrpSpPr/>
      </xdr:nvGrpSpPr>
      <xdr:grpSpPr>
        <a:xfrm>
          <a:off x="-12" y="0"/>
          <a:ext cx="7482537" cy="5621550"/>
          <a:chOff x="-12" y="0"/>
          <a:chExt cx="7482537" cy="5621550"/>
        </a:xfrm>
      </xdr:grpSpPr>
      <xdr:sp>
        <xdr:nvSpPr>
          <xdr:cNvPr id="126" name="Shape 126"/>
          <xdr:cNvSpPr/>
        </xdr:nvSpPr>
        <xdr:spPr>
          <a:xfrm>
            <a:off x="0" y="0"/>
            <a:ext cx="1620300" cy="972000"/>
          </a:xfrm>
          <a:prstGeom prst="rect">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INTRODUCTION/</a:t>
            </a:r>
            <a:endParaRPr sz="1400"/>
          </a:p>
          <a:p>
            <a:pPr indent="0" lvl="0" marL="0" rtl="0" algn="ctr">
              <a:spcBef>
                <a:spcPts val="0"/>
              </a:spcBef>
              <a:spcAft>
                <a:spcPts val="0"/>
              </a:spcAft>
              <a:buNone/>
            </a:pPr>
            <a:r>
              <a:rPr lang="en-US" sz="1400"/>
              <a:t>BUILD RAPPORT</a:t>
            </a:r>
            <a:endParaRPr sz="1400"/>
          </a:p>
        </xdr:txBody>
      </xdr:sp>
      <xdr:sp>
        <xdr:nvSpPr>
          <xdr:cNvPr id="127" name="Shape 127"/>
          <xdr:cNvSpPr/>
        </xdr:nvSpPr>
        <xdr:spPr>
          <a:xfrm>
            <a:off x="-12" y="4649475"/>
            <a:ext cx="1620300" cy="972000"/>
          </a:xfrm>
          <a:prstGeom prst="rect">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MUST ASK Qs</a:t>
            </a:r>
            <a:endParaRPr sz="1400"/>
          </a:p>
        </xdr:txBody>
      </xdr:sp>
      <xdr:sp>
        <xdr:nvSpPr>
          <xdr:cNvPr id="128" name="Shape 128"/>
          <xdr:cNvSpPr/>
        </xdr:nvSpPr>
        <xdr:spPr>
          <a:xfrm>
            <a:off x="1736100" y="3913050"/>
            <a:ext cx="1266900" cy="8445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CONVERT LEAD</a:t>
            </a:r>
            <a:endParaRPr sz="1000"/>
          </a:p>
          <a:p>
            <a:pPr indent="0" lvl="0" marL="0" rtl="0" algn="ctr">
              <a:spcBef>
                <a:spcPts val="0"/>
              </a:spcBef>
              <a:spcAft>
                <a:spcPts val="0"/>
              </a:spcAft>
              <a:buNone/>
            </a:pPr>
            <a:r>
              <a:rPr lang="en-US" sz="1000"/>
              <a:t>-OPPORTUNITY</a:t>
            </a:r>
            <a:endParaRPr sz="1000"/>
          </a:p>
          <a:p>
            <a:pPr indent="0" lvl="0" marL="0" rtl="0" algn="ctr">
              <a:spcBef>
                <a:spcPts val="0"/>
              </a:spcBef>
              <a:spcAft>
                <a:spcPts val="0"/>
              </a:spcAft>
              <a:buNone/>
            </a:pPr>
            <a:r>
              <a:rPr lang="en-US" sz="1000"/>
              <a:t>-CONTACT</a:t>
            </a:r>
            <a:endParaRPr sz="1000"/>
          </a:p>
          <a:p>
            <a:pPr indent="0" lvl="0" marL="0" rtl="0" algn="ctr">
              <a:spcBef>
                <a:spcPts val="0"/>
              </a:spcBef>
              <a:spcAft>
                <a:spcPts val="0"/>
              </a:spcAft>
              <a:buNone/>
            </a:pPr>
            <a:r>
              <a:rPr lang="en-US" sz="1000"/>
              <a:t>-ACCOUNT</a:t>
            </a:r>
            <a:endParaRPr sz="1000"/>
          </a:p>
        </xdr:txBody>
      </xdr:sp>
      <xdr:sp>
        <xdr:nvSpPr>
          <xdr:cNvPr id="129" name="Shape 129"/>
          <xdr:cNvSpPr/>
        </xdr:nvSpPr>
        <xdr:spPr>
          <a:xfrm>
            <a:off x="5862225" y="4649550"/>
            <a:ext cx="1620300" cy="972000"/>
          </a:xfrm>
          <a:prstGeom prst="rect">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100"/>
              <a:t>RECOMMENDATION</a:t>
            </a:r>
            <a:endParaRPr sz="1100"/>
          </a:p>
        </xdr:txBody>
      </xdr:sp>
      <xdr:sp>
        <xdr:nvSpPr>
          <xdr:cNvPr id="130" name="Shape 130"/>
          <xdr:cNvSpPr/>
        </xdr:nvSpPr>
        <xdr:spPr>
          <a:xfrm>
            <a:off x="5862225" y="0"/>
            <a:ext cx="1620300" cy="972000"/>
          </a:xfrm>
          <a:prstGeom prst="rect">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100"/>
              <a:t>CLOSING</a:t>
            </a:r>
            <a:endParaRPr sz="1100"/>
          </a:p>
        </xdr:txBody>
      </xdr:sp>
      <xdr:sp>
        <xdr:nvSpPr>
          <xdr:cNvPr id="131" name="Shape 131"/>
          <xdr:cNvSpPr/>
        </xdr:nvSpPr>
        <xdr:spPr>
          <a:xfrm>
            <a:off x="873075" y="2857488"/>
            <a:ext cx="2067000" cy="8445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800"/>
              <a:t>CORE CUSTOMER</a:t>
            </a:r>
            <a:endParaRPr b="1" sz="800"/>
          </a:p>
          <a:p>
            <a:pPr indent="-266700" lvl="0" marL="457200" rtl="0" algn="l">
              <a:lnSpc>
                <a:spcPct val="100000"/>
              </a:lnSpc>
              <a:spcBef>
                <a:spcPts val="0"/>
              </a:spcBef>
              <a:spcAft>
                <a:spcPts val="0"/>
              </a:spcAft>
              <a:buSzPts val="600"/>
              <a:buChar char="●"/>
            </a:pPr>
            <a:r>
              <a:rPr lang="en-US" sz="600"/>
              <a:t>English Speaking writers/authors</a:t>
            </a:r>
            <a:endParaRPr sz="600"/>
          </a:p>
          <a:p>
            <a:pPr indent="-266700" lvl="0" marL="457200" rtl="0" algn="l">
              <a:lnSpc>
                <a:spcPct val="100000"/>
              </a:lnSpc>
              <a:spcBef>
                <a:spcPts val="0"/>
              </a:spcBef>
              <a:spcAft>
                <a:spcPts val="0"/>
              </a:spcAft>
              <a:buSzPts val="600"/>
              <a:buChar char="●"/>
            </a:pPr>
            <a:r>
              <a:rPr lang="en-US" sz="600"/>
              <a:t>Between 35-80 years old</a:t>
            </a:r>
            <a:endParaRPr sz="600"/>
          </a:p>
          <a:p>
            <a:pPr indent="-266700" lvl="0" marL="457200" rtl="0" algn="l">
              <a:lnSpc>
                <a:spcPct val="100000"/>
              </a:lnSpc>
              <a:spcBef>
                <a:spcPts val="0"/>
              </a:spcBef>
              <a:spcAft>
                <a:spcPts val="0"/>
              </a:spcAft>
              <a:buSzPts val="600"/>
              <a:buChar char="●"/>
            </a:pPr>
            <a:r>
              <a:rPr lang="en-US" sz="600"/>
              <a:t>Nearly or completed manuscript</a:t>
            </a:r>
            <a:endParaRPr sz="600"/>
          </a:p>
          <a:p>
            <a:pPr indent="-266700" lvl="0" marL="457200" rtl="0" algn="l">
              <a:lnSpc>
                <a:spcPct val="100000"/>
              </a:lnSpc>
              <a:spcBef>
                <a:spcPts val="0"/>
              </a:spcBef>
              <a:spcAft>
                <a:spcPts val="0"/>
              </a:spcAft>
              <a:buSzPts val="600"/>
              <a:buChar char="●"/>
            </a:pPr>
            <a:r>
              <a:rPr lang="en-US" sz="600"/>
              <a:t>Wants to leave a legacy through the book</a:t>
            </a:r>
            <a:endParaRPr sz="600"/>
          </a:p>
          <a:p>
            <a:pPr indent="-266700" lvl="0" marL="457200" rtl="0" algn="l">
              <a:lnSpc>
                <a:spcPct val="100000"/>
              </a:lnSpc>
              <a:spcBef>
                <a:spcPts val="0"/>
              </a:spcBef>
              <a:spcAft>
                <a:spcPts val="0"/>
              </a:spcAft>
              <a:buSzPts val="600"/>
              <a:buChar char="●"/>
            </a:pPr>
            <a:r>
              <a:rPr lang="en-US" sz="600"/>
              <a:t>Has the disposable income to spend for the publishing of the book Computer literate</a:t>
            </a:r>
            <a:endParaRPr b="1" sz="600"/>
          </a:p>
        </xdr:txBody>
      </xdr:sp>
      <xdr:cxnSp>
        <xdr:nvCxnSpPr>
          <xdr:cNvPr id="132" name="Shape 132"/>
          <xdr:cNvCxnSpPr>
            <a:stCxn id="131" idx="3"/>
            <a:endCxn id="131" idx="3"/>
          </xdr:cNvCxnSpPr>
        </xdr:nvCxnSpPr>
        <xdr:spPr>
          <a:xfrm>
            <a:off x="2940075" y="3279738"/>
            <a:ext cx="0" cy="0"/>
          </a:xfrm>
          <a:prstGeom prst="straightConnector1">
            <a:avLst/>
          </a:prstGeom>
          <a:noFill/>
          <a:ln cap="flat" cmpd="sng" w="9525">
            <a:solidFill>
              <a:srgbClr val="000000"/>
            </a:solidFill>
            <a:prstDash val="solid"/>
            <a:round/>
            <a:headEnd len="med" w="med" type="none"/>
            <a:tailEnd len="med" w="med" type="none"/>
          </a:ln>
        </xdr:spPr>
      </xdr:cxnSp>
      <xdr:cxnSp>
        <xdr:nvCxnSpPr>
          <xdr:cNvPr id="133" name="Shape 133"/>
          <xdr:cNvCxnSpPr>
            <a:stCxn id="128" idx="1"/>
            <a:endCxn id="131" idx="2"/>
          </xdr:cNvCxnSpPr>
        </xdr:nvCxnSpPr>
        <xdr:spPr>
          <a:xfrm flipH="1" rot="10800000">
            <a:off x="1736100" y="3702000"/>
            <a:ext cx="170400" cy="633300"/>
          </a:xfrm>
          <a:prstGeom prst="bentConnector4">
            <a:avLst>
              <a:gd fmla="val -139745" name="adj1"/>
              <a:gd fmla="val 83338" name="adj2"/>
            </a:avLst>
          </a:prstGeom>
          <a:noFill/>
          <a:ln cap="flat" cmpd="sng" w="19050">
            <a:solidFill>
              <a:srgbClr val="FF0000"/>
            </a:solidFill>
            <a:prstDash val="dash"/>
            <a:round/>
            <a:headEnd len="med" w="med" type="none"/>
            <a:tailEnd len="med" w="med" type="none"/>
          </a:ln>
        </xdr:spPr>
      </xdr:cxnSp>
      <xdr:cxnSp>
        <xdr:nvCxnSpPr>
          <xdr:cNvPr id="134" name="Shape 134"/>
          <xdr:cNvCxnSpPr>
            <a:stCxn id="126" idx="2"/>
            <a:endCxn id="127" idx="0"/>
          </xdr:cNvCxnSpPr>
        </xdr:nvCxnSpPr>
        <xdr:spPr>
          <a:xfrm>
            <a:off x="810150" y="972000"/>
            <a:ext cx="0" cy="3677400"/>
          </a:xfrm>
          <a:prstGeom prst="straightConnector1">
            <a:avLst/>
          </a:prstGeom>
          <a:noFill/>
          <a:ln cap="flat" cmpd="sng" w="38100">
            <a:solidFill>
              <a:srgbClr val="00FF00"/>
            </a:solidFill>
            <a:prstDash val="solid"/>
            <a:round/>
            <a:headEnd len="med" w="med" type="none"/>
            <a:tailEnd len="med" w="med" type="triangle"/>
          </a:ln>
        </xdr:spPr>
      </xdr:cxnSp>
      <xdr:cxnSp>
        <xdr:nvCxnSpPr>
          <xdr:cNvPr id="135" name="Shape 135"/>
          <xdr:cNvCxnSpPr>
            <a:stCxn id="127" idx="3"/>
            <a:endCxn id="129" idx="1"/>
          </xdr:cNvCxnSpPr>
        </xdr:nvCxnSpPr>
        <xdr:spPr>
          <a:xfrm>
            <a:off x="1620288" y="5135475"/>
            <a:ext cx="4242000" cy="0"/>
          </a:xfrm>
          <a:prstGeom prst="straightConnector1">
            <a:avLst/>
          </a:prstGeom>
          <a:noFill/>
          <a:ln cap="flat" cmpd="sng" w="38100">
            <a:solidFill>
              <a:srgbClr val="00FF00"/>
            </a:solidFill>
            <a:prstDash val="solid"/>
            <a:round/>
            <a:headEnd len="med" w="med" type="none"/>
            <a:tailEnd len="med" w="med" type="triangle"/>
          </a:ln>
        </xdr:spPr>
      </xdr:cxnSp>
      <xdr:cxnSp>
        <xdr:nvCxnSpPr>
          <xdr:cNvPr id="136" name="Shape 136"/>
          <xdr:cNvCxnSpPr>
            <a:stCxn id="129" idx="0"/>
            <a:endCxn id="130" idx="2"/>
          </xdr:cNvCxnSpPr>
        </xdr:nvCxnSpPr>
        <xdr:spPr>
          <a:xfrm rot="10800000">
            <a:off x="6672375" y="971850"/>
            <a:ext cx="0" cy="3677700"/>
          </a:xfrm>
          <a:prstGeom prst="straightConnector1">
            <a:avLst/>
          </a:prstGeom>
          <a:noFill/>
          <a:ln cap="flat" cmpd="sng" w="38100">
            <a:solidFill>
              <a:srgbClr val="00FF00"/>
            </a:solidFill>
            <a:prstDash val="solid"/>
            <a:round/>
            <a:headEnd len="med" w="med" type="none"/>
            <a:tailEnd len="med" w="med" type="triangle"/>
          </a:ln>
        </xdr:spPr>
      </xdr:cxnSp>
      <xdr:cxnSp>
        <xdr:nvCxnSpPr>
          <xdr:cNvPr id="137" name="Shape 137"/>
          <xdr:cNvCxnSpPr>
            <a:stCxn id="127" idx="3"/>
            <a:endCxn id="128" idx="2"/>
          </xdr:cNvCxnSpPr>
        </xdr:nvCxnSpPr>
        <xdr:spPr>
          <a:xfrm flipH="1" rot="10800000">
            <a:off x="1620288" y="4757475"/>
            <a:ext cx="749400" cy="378000"/>
          </a:xfrm>
          <a:prstGeom prst="straightConnector1">
            <a:avLst/>
          </a:prstGeom>
          <a:noFill/>
          <a:ln cap="flat" cmpd="sng" w="19050">
            <a:solidFill>
              <a:srgbClr val="4A86E8"/>
            </a:solidFill>
            <a:prstDash val="solid"/>
            <a:round/>
            <a:headEnd len="med" w="med" type="none"/>
            <a:tailEnd len="med" w="med" type="triangle"/>
          </a:ln>
        </xdr:spPr>
      </xdr:cxnSp>
      <xdr:sp>
        <xdr:nvSpPr>
          <xdr:cNvPr id="138" name="Shape 138"/>
          <xdr:cNvSpPr/>
        </xdr:nvSpPr>
        <xdr:spPr>
          <a:xfrm>
            <a:off x="3336188" y="3392475"/>
            <a:ext cx="1620300" cy="13650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UPDATE FIELDS:</a:t>
            </a:r>
            <a:endParaRPr b="1" sz="1000"/>
          </a:p>
          <a:p>
            <a:pPr indent="-292100" lvl="0" marL="457200" rtl="0" algn="l">
              <a:spcBef>
                <a:spcPts val="0"/>
              </a:spcBef>
              <a:spcAft>
                <a:spcPts val="0"/>
              </a:spcAft>
              <a:buSzPts val="1000"/>
              <a:buAutoNum type="arabicPeriod"/>
            </a:pPr>
            <a:r>
              <a:rPr lang="en-US" sz="1000"/>
              <a:t>Amount</a:t>
            </a:r>
            <a:endParaRPr sz="1000"/>
          </a:p>
          <a:p>
            <a:pPr indent="-292100" lvl="0" marL="457200" rtl="0" algn="l">
              <a:spcBef>
                <a:spcPts val="0"/>
              </a:spcBef>
              <a:spcAft>
                <a:spcPts val="0"/>
              </a:spcAft>
              <a:buSzPts val="1000"/>
              <a:buAutoNum type="arabicPeriod"/>
            </a:pPr>
            <a:r>
              <a:rPr lang="en-US" sz="1000"/>
              <a:t>Closing Date</a:t>
            </a:r>
            <a:endParaRPr sz="1000"/>
          </a:p>
          <a:p>
            <a:pPr indent="-292100" lvl="0" marL="457200" rtl="0" algn="l">
              <a:spcBef>
                <a:spcPts val="0"/>
              </a:spcBef>
              <a:spcAft>
                <a:spcPts val="0"/>
              </a:spcAft>
              <a:buSzPts val="1000"/>
              <a:buAutoNum type="arabicPeriod"/>
            </a:pPr>
            <a:r>
              <a:rPr lang="en-US" sz="1000"/>
              <a:t>Stage</a:t>
            </a:r>
            <a:endParaRPr sz="1000"/>
          </a:p>
          <a:p>
            <a:pPr indent="-292100" lvl="0" marL="457200" rtl="0" algn="l">
              <a:spcBef>
                <a:spcPts val="0"/>
              </a:spcBef>
              <a:spcAft>
                <a:spcPts val="0"/>
              </a:spcAft>
              <a:buSzPts val="1000"/>
              <a:buAutoNum type="arabicPeriod"/>
            </a:pPr>
            <a:r>
              <a:rPr lang="en-US" sz="1000"/>
              <a:t>Country</a:t>
            </a:r>
            <a:endParaRPr sz="1000"/>
          </a:p>
          <a:p>
            <a:pPr indent="-292100" lvl="0" marL="457200" rtl="0" algn="l">
              <a:spcBef>
                <a:spcPts val="0"/>
              </a:spcBef>
              <a:spcAft>
                <a:spcPts val="0"/>
              </a:spcAft>
              <a:buSzPts val="1000"/>
              <a:buAutoNum type="arabicPeriod"/>
            </a:pPr>
            <a:r>
              <a:rPr lang="en-US" sz="1000"/>
              <a:t>Genre</a:t>
            </a:r>
            <a:endParaRPr sz="1000"/>
          </a:p>
          <a:p>
            <a:pPr indent="-292100" lvl="0" marL="457200" rtl="0" algn="l">
              <a:spcBef>
                <a:spcPts val="0"/>
              </a:spcBef>
              <a:spcAft>
                <a:spcPts val="0"/>
              </a:spcAft>
              <a:buSzPts val="1000"/>
              <a:buAutoNum type="arabicPeriod"/>
            </a:pPr>
            <a:r>
              <a:rPr lang="en-US" sz="1000"/>
              <a:t>Transaction Type</a:t>
            </a:r>
            <a:endParaRPr sz="1000"/>
          </a:p>
          <a:p>
            <a:pPr indent="-292100" lvl="0" marL="457200" rtl="0" algn="l">
              <a:spcBef>
                <a:spcPts val="0"/>
              </a:spcBef>
              <a:spcAft>
                <a:spcPts val="0"/>
              </a:spcAft>
              <a:buSzPts val="1000"/>
              <a:buAutoNum type="arabicPeriod"/>
            </a:pPr>
            <a:r>
              <a:rPr lang="en-US" sz="1000"/>
              <a:t>Currency</a:t>
            </a:r>
            <a:endParaRPr sz="1000"/>
          </a:p>
        </xdr:txBody>
      </xdr:sp>
      <xdr:cxnSp>
        <xdr:nvCxnSpPr>
          <xdr:cNvPr id="139" name="Shape 139"/>
          <xdr:cNvCxnSpPr>
            <a:stCxn id="128" idx="3"/>
            <a:endCxn id="138" idx="1"/>
          </xdr:cNvCxnSpPr>
        </xdr:nvCxnSpPr>
        <xdr:spPr>
          <a:xfrm flipH="1" rot="10800000">
            <a:off x="3003000" y="4074900"/>
            <a:ext cx="333300" cy="260400"/>
          </a:xfrm>
          <a:prstGeom prst="straightConnector1">
            <a:avLst/>
          </a:prstGeom>
          <a:noFill/>
          <a:ln cap="flat" cmpd="sng" w="19050">
            <a:solidFill>
              <a:srgbClr val="4A86E8"/>
            </a:solidFill>
            <a:prstDash val="solid"/>
            <a:round/>
            <a:headEnd len="med" w="med" type="none"/>
            <a:tailEnd len="med" w="med" type="triangle"/>
          </a:ln>
        </xdr:spPr>
      </xdr:cxnSp>
      <xdr:sp>
        <xdr:nvSpPr>
          <xdr:cNvPr id="140" name="Shape 140"/>
          <xdr:cNvSpPr/>
        </xdr:nvSpPr>
        <xdr:spPr>
          <a:xfrm>
            <a:off x="917325" y="2148000"/>
            <a:ext cx="1978500" cy="6333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lnSpc>
                <a:spcPct val="100000"/>
              </a:lnSpc>
              <a:spcBef>
                <a:spcPts val="0"/>
              </a:spcBef>
              <a:spcAft>
                <a:spcPts val="0"/>
              </a:spcAft>
              <a:buNone/>
            </a:pPr>
            <a:r>
              <a:rPr b="1" lang="en-US" sz="800"/>
              <a:t>PROMO ELIGIBILITY FIELD:</a:t>
            </a:r>
            <a:endParaRPr b="1" sz="800"/>
          </a:p>
          <a:p>
            <a:pPr indent="-279400" lvl="0" marL="457200" rtl="0" algn="l">
              <a:lnSpc>
                <a:spcPct val="100000"/>
              </a:lnSpc>
              <a:spcBef>
                <a:spcPts val="0"/>
              </a:spcBef>
              <a:spcAft>
                <a:spcPts val="0"/>
              </a:spcAft>
              <a:buSzPts val="800"/>
              <a:buChar char="●"/>
            </a:pPr>
            <a:r>
              <a:rPr lang="en-US" sz="800"/>
              <a:t>Exclude from Promo if you don’t want the promo email to be sent to this author.</a:t>
            </a:r>
            <a:endParaRPr sz="800"/>
          </a:p>
        </xdr:txBody>
      </xdr:sp>
      <xdr:cxnSp>
        <xdr:nvCxnSpPr>
          <xdr:cNvPr id="141" name="Shape 141"/>
          <xdr:cNvCxnSpPr>
            <a:stCxn id="138" idx="1"/>
            <a:endCxn id="140" idx="3"/>
          </xdr:cNvCxnSpPr>
        </xdr:nvCxnSpPr>
        <xdr:spPr>
          <a:xfrm rot="10800000">
            <a:off x="2895788" y="2464575"/>
            <a:ext cx="440400" cy="1610400"/>
          </a:xfrm>
          <a:prstGeom prst="straightConnector1">
            <a:avLst/>
          </a:prstGeom>
          <a:noFill/>
          <a:ln cap="flat" cmpd="sng" w="19050">
            <a:solidFill>
              <a:srgbClr val="FF0000"/>
            </a:solidFill>
            <a:prstDash val="dash"/>
            <a:round/>
            <a:headEnd len="med" w="med" type="none"/>
            <a:tailEnd len="med" w="med" type="none"/>
          </a:ln>
        </xdr:spPr>
      </xdr:cxnSp>
      <xdr:sp>
        <xdr:nvSpPr>
          <xdr:cNvPr id="142" name="Shape 142"/>
          <xdr:cNvSpPr/>
        </xdr:nvSpPr>
        <xdr:spPr>
          <a:xfrm>
            <a:off x="3336200" y="2660800"/>
            <a:ext cx="1376100" cy="5697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CREATE ESTIMATE</a:t>
            </a:r>
            <a:endParaRPr sz="1000"/>
          </a:p>
        </xdr:txBody>
      </xdr:sp>
      <xdr:cxnSp>
        <xdr:nvCxnSpPr>
          <xdr:cNvPr id="143" name="Shape 143"/>
          <xdr:cNvCxnSpPr>
            <a:stCxn id="138" idx="0"/>
            <a:endCxn id="142" idx="2"/>
          </xdr:cNvCxnSpPr>
        </xdr:nvCxnSpPr>
        <xdr:spPr>
          <a:xfrm rot="10800000">
            <a:off x="4024238" y="3230475"/>
            <a:ext cx="122100" cy="1620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44" name="Shape 144"/>
          <xdr:cNvCxnSpPr>
            <a:stCxn id="129" idx="0"/>
            <a:endCxn id="142" idx="3"/>
          </xdr:cNvCxnSpPr>
        </xdr:nvCxnSpPr>
        <xdr:spPr>
          <a:xfrm rot="10800000">
            <a:off x="4712175" y="2945550"/>
            <a:ext cx="1960200" cy="1704000"/>
          </a:xfrm>
          <a:prstGeom prst="straightConnector1">
            <a:avLst/>
          </a:prstGeom>
          <a:noFill/>
          <a:ln cap="flat" cmpd="sng" w="19050">
            <a:solidFill>
              <a:srgbClr val="4A86E8"/>
            </a:solidFill>
            <a:prstDash val="solid"/>
            <a:round/>
            <a:headEnd len="med" w="med" type="none"/>
            <a:tailEnd len="med" w="med" type="triangle"/>
          </a:ln>
        </xdr:spPr>
      </xdr:cxnSp>
      <xdr:sp>
        <xdr:nvSpPr>
          <xdr:cNvPr id="145" name="Shape 145"/>
          <xdr:cNvSpPr/>
        </xdr:nvSpPr>
        <xdr:spPr>
          <a:xfrm>
            <a:off x="1906500" y="1325388"/>
            <a:ext cx="1087200" cy="746400"/>
          </a:xfrm>
          <a:prstGeom prst="rect">
            <a:avLst/>
          </a:prstGeom>
          <a:solidFill>
            <a:srgbClr val="F9CB9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SEND EMAIL W/ ATTACHED ESTIMATE &amp; OTHER DOCS</a:t>
            </a:r>
            <a:endParaRPr sz="1000"/>
          </a:p>
        </xdr:txBody>
      </xdr:sp>
      <xdr:sp>
        <xdr:nvSpPr>
          <xdr:cNvPr id="146" name="Shape 146"/>
          <xdr:cNvSpPr/>
        </xdr:nvSpPr>
        <xdr:spPr>
          <a:xfrm>
            <a:off x="3602738" y="1806488"/>
            <a:ext cx="1087200" cy="7464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SCHEDULE FOLLOW-UP CALL</a:t>
            </a:r>
            <a:endParaRPr sz="1000"/>
          </a:p>
        </xdr:txBody>
      </xdr:sp>
      <xdr:sp>
        <xdr:nvSpPr>
          <xdr:cNvPr id="147" name="Shape 147"/>
          <xdr:cNvSpPr/>
        </xdr:nvSpPr>
        <xdr:spPr>
          <a:xfrm>
            <a:off x="3602738" y="952188"/>
            <a:ext cx="1087200" cy="7464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SCHEDULE CLOSING CALL</a:t>
            </a:r>
            <a:endParaRPr sz="1000"/>
          </a:p>
        </xdr:txBody>
      </xdr:sp>
      <xdr:cxnSp>
        <xdr:nvCxnSpPr>
          <xdr:cNvPr id="148" name="Shape 148"/>
          <xdr:cNvCxnSpPr>
            <a:stCxn id="129" idx="0"/>
            <a:endCxn id="147" idx="3"/>
          </xdr:cNvCxnSpPr>
        </xdr:nvCxnSpPr>
        <xdr:spPr>
          <a:xfrm rot="10800000">
            <a:off x="4689975" y="1325250"/>
            <a:ext cx="1982400" cy="33243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49" name="Shape 149"/>
          <xdr:cNvCxnSpPr>
            <a:stCxn id="146" idx="3"/>
            <a:endCxn id="129" idx="0"/>
          </xdr:cNvCxnSpPr>
        </xdr:nvCxnSpPr>
        <xdr:spPr>
          <a:xfrm>
            <a:off x="4689938" y="2179688"/>
            <a:ext cx="1982400" cy="24699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50" name="Shape 150"/>
          <xdr:cNvCxnSpPr>
            <a:stCxn id="147" idx="3"/>
            <a:endCxn id="130" idx="1"/>
          </xdr:cNvCxnSpPr>
        </xdr:nvCxnSpPr>
        <xdr:spPr>
          <a:xfrm flipH="1" rot="10800000">
            <a:off x="4689938" y="485988"/>
            <a:ext cx="1172400" cy="839400"/>
          </a:xfrm>
          <a:prstGeom prst="bentConnector3">
            <a:avLst>
              <a:gd fmla="val 49995" name="adj1"/>
            </a:avLst>
          </a:prstGeom>
          <a:noFill/>
          <a:ln cap="flat" cmpd="sng" w="19050">
            <a:solidFill>
              <a:srgbClr val="00FF00"/>
            </a:solidFill>
            <a:prstDash val="solid"/>
            <a:round/>
            <a:headEnd len="med" w="med" type="none"/>
            <a:tailEnd len="med" w="med" type="triangle"/>
          </a:ln>
        </xdr:spPr>
      </xdr:cxnSp>
      <xdr:sp>
        <xdr:nvSpPr>
          <xdr:cNvPr id="151" name="Shape 151"/>
          <xdr:cNvSpPr/>
        </xdr:nvSpPr>
        <xdr:spPr>
          <a:xfrm>
            <a:off x="3530313" y="90750"/>
            <a:ext cx="1531800" cy="569700"/>
          </a:xfrm>
          <a:prstGeom prst="rect">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INITIATE PROJECT IN OCTAVO, INVOICE, PROCESS PAYMENT</a:t>
            </a:r>
            <a:endParaRPr sz="1000"/>
          </a:p>
        </xdr:txBody>
      </xdr:sp>
      <xdr:sp>
        <xdr:nvSpPr>
          <xdr:cNvPr id="152" name="Shape 152"/>
          <xdr:cNvSpPr/>
        </xdr:nvSpPr>
        <xdr:spPr>
          <a:xfrm>
            <a:off x="1980050" y="95900"/>
            <a:ext cx="1194300" cy="485700"/>
          </a:xfrm>
          <a:prstGeom prst="rect">
            <a:avLst/>
          </a:prstGeom>
          <a:solidFill>
            <a:srgbClr val="A4C2F4"/>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CLOSING MUST MENTIONS</a:t>
            </a:r>
            <a:endParaRPr sz="1000"/>
          </a:p>
        </xdr:txBody>
      </xdr:sp>
      <xdr:cxnSp>
        <xdr:nvCxnSpPr>
          <xdr:cNvPr id="153" name="Shape 153"/>
          <xdr:cNvCxnSpPr>
            <a:stCxn id="130" idx="1"/>
            <a:endCxn id="151" idx="3"/>
          </xdr:cNvCxnSpPr>
        </xdr:nvCxnSpPr>
        <xdr:spPr>
          <a:xfrm rot="10800000">
            <a:off x="5062125" y="375600"/>
            <a:ext cx="800100" cy="1104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54" name="Shape 154"/>
          <xdr:cNvCxnSpPr>
            <a:stCxn id="151" idx="1"/>
            <a:endCxn id="152" idx="3"/>
          </xdr:cNvCxnSpPr>
        </xdr:nvCxnSpPr>
        <xdr:spPr>
          <a:xfrm rot="10800000">
            <a:off x="3174213" y="338700"/>
            <a:ext cx="356100" cy="36900"/>
          </a:xfrm>
          <a:prstGeom prst="straightConnector1">
            <a:avLst/>
          </a:prstGeom>
          <a:noFill/>
          <a:ln cap="flat" cmpd="sng" w="19050">
            <a:solidFill>
              <a:srgbClr val="00FF00"/>
            </a:solidFill>
            <a:prstDash val="solid"/>
            <a:round/>
            <a:headEnd len="med" w="med" type="none"/>
            <a:tailEnd len="med" w="med" type="triangle"/>
          </a:ln>
        </xdr:spPr>
      </xdr:cxnSp>
      <xdr:sp>
        <xdr:nvSpPr>
          <xdr:cNvPr id="155" name="Shape 155"/>
          <xdr:cNvSpPr/>
        </xdr:nvSpPr>
        <xdr:spPr>
          <a:xfrm>
            <a:off x="944625" y="1232325"/>
            <a:ext cx="827400" cy="569700"/>
          </a:xfrm>
          <a:prstGeom prst="rect">
            <a:avLst/>
          </a:prstGeom>
          <a:solidFill>
            <a:srgbClr val="F9CB9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SEND WELCOME-OPPS</a:t>
            </a:r>
            <a:r>
              <a:rPr lang="en-US" sz="900"/>
              <a:t> </a:t>
            </a:r>
            <a:r>
              <a:rPr lang="en-US" sz="900"/>
              <a:t>EMAIL</a:t>
            </a:r>
            <a:endParaRPr sz="900"/>
          </a:p>
        </xdr:txBody>
      </xdr:sp>
      <xdr:cxnSp>
        <xdr:nvCxnSpPr>
          <xdr:cNvPr id="156" name="Shape 156"/>
          <xdr:cNvCxnSpPr>
            <a:stCxn id="152" idx="1"/>
            <a:endCxn id="155" idx="3"/>
          </xdr:cNvCxnSpPr>
        </xdr:nvCxnSpPr>
        <xdr:spPr>
          <a:xfrm flipH="1">
            <a:off x="1772150" y="338750"/>
            <a:ext cx="207900" cy="1178400"/>
          </a:xfrm>
          <a:prstGeom prst="straightConnector1">
            <a:avLst/>
          </a:prstGeom>
          <a:noFill/>
          <a:ln cap="flat" cmpd="sng" w="19050">
            <a:solidFill>
              <a:srgbClr val="4A86E8"/>
            </a:solidFill>
            <a:prstDash val="solid"/>
            <a:round/>
            <a:headEnd len="med" w="med" type="none"/>
            <a:tailEnd len="med" w="med" type="triangle"/>
          </a:ln>
        </xdr:spPr>
      </xdr:cxnSp>
      <xdr:sp>
        <xdr:nvSpPr>
          <xdr:cNvPr id="157" name="Shape 157"/>
          <xdr:cNvSpPr/>
        </xdr:nvSpPr>
        <xdr:spPr>
          <a:xfrm>
            <a:off x="5152675" y="1477600"/>
            <a:ext cx="1376100" cy="569700"/>
          </a:xfrm>
          <a:prstGeom prst="rect">
            <a:avLst/>
          </a:prstGeom>
          <a:solidFill>
            <a:srgbClr val="FF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UPDATE AMOUNT, CLOSING DATE, SET TO STAGE 7</a:t>
            </a:r>
            <a:endParaRPr sz="1000"/>
          </a:p>
        </xdr:txBody>
      </xdr:sp>
      <xdr:cxnSp>
        <xdr:nvCxnSpPr>
          <xdr:cNvPr id="158" name="Shape 158"/>
          <xdr:cNvCxnSpPr>
            <a:stCxn id="145" idx="3"/>
            <a:endCxn id="147" idx="1"/>
          </xdr:cNvCxnSpPr>
        </xdr:nvCxnSpPr>
        <xdr:spPr>
          <a:xfrm flipH="1" rot="10800000">
            <a:off x="2993700" y="1325388"/>
            <a:ext cx="609000" cy="3732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59" name="Shape 159"/>
          <xdr:cNvCxnSpPr>
            <a:stCxn id="145" idx="3"/>
            <a:endCxn id="146" idx="1"/>
          </xdr:cNvCxnSpPr>
        </xdr:nvCxnSpPr>
        <xdr:spPr>
          <a:xfrm>
            <a:off x="2993700" y="1698588"/>
            <a:ext cx="609000" cy="4812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60" name="Shape 160"/>
          <xdr:cNvCxnSpPr>
            <a:stCxn id="142" idx="1"/>
            <a:endCxn id="145" idx="3"/>
          </xdr:cNvCxnSpPr>
        </xdr:nvCxnSpPr>
        <xdr:spPr>
          <a:xfrm rot="10800000">
            <a:off x="2993600" y="1698550"/>
            <a:ext cx="342600" cy="1247100"/>
          </a:xfrm>
          <a:prstGeom prst="straightConnector1">
            <a:avLst/>
          </a:prstGeom>
          <a:noFill/>
          <a:ln cap="flat" cmpd="sng" w="19050">
            <a:solidFill>
              <a:srgbClr val="4A86E8"/>
            </a:solidFill>
            <a:prstDash val="solid"/>
            <a:round/>
            <a:headEnd len="med" w="med" type="none"/>
            <a:tailEnd len="med" w="med" type="triangle"/>
          </a:ln>
        </xdr:spPr>
      </xdr:cxnSp>
      <xdr:sp>
        <xdr:nvSpPr>
          <xdr:cNvPr id="161" name="Shape 161"/>
          <xdr:cNvSpPr/>
        </xdr:nvSpPr>
        <xdr:spPr>
          <a:xfrm>
            <a:off x="2136463" y="678550"/>
            <a:ext cx="1187700" cy="569700"/>
          </a:xfrm>
          <a:prstGeom prst="rect">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CONSULTANT COMMENTS</a:t>
            </a:r>
            <a:endParaRPr sz="1000"/>
          </a:p>
        </xdr:txBody>
      </xdr:sp>
      <xdr:cxnSp>
        <xdr:nvCxnSpPr>
          <xdr:cNvPr id="162" name="Shape 162"/>
          <xdr:cNvCxnSpPr>
            <a:stCxn id="151" idx="1"/>
            <a:endCxn id="161" idx="3"/>
          </xdr:cNvCxnSpPr>
        </xdr:nvCxnSpPr>
        <xdr:spPr>
          <a:xfrm flipH="1">
            <a:off x="3324213" y="375600"/>
            <a:ext cx="206100" cy="5877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63" name="Shape 163"/>
          <xdr:cNvCxnSpPr>
            <a:stCxn id="152" idx="2"/>
            <a:endCxn id="161" idx="0"/>
          </xdr:cNvCxnSpPr>
        </xdr:nvCxnSpPr>
        <xdr:spPr>
          <a:xfrm>
            <a:off x="2577200" y="581600"/>
            <a:ext cx="153000" cy="969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64" name="Shape 164"/>
          <xdr:cNvCxnSpPr>
            <a:stCxn id="130" idx="2"/>
            <a:endCxn id="157" idx="0"/>
          </xdr:cNvCxnSpPr>
        </xdr:nvCxnSpPr>
        <xdr:spPr>
          <a:xfrm flipH="1">
            <a:off x="5840775" y="972000"/>
            <a:ext cx="831600" cy="505500"/>
          </a:xfrm>
          <a:prstGeom prst="straightConnector1">
            <a:avLst/>
          </a:prstGeom>
          <a:noFill/>
          <a:ln cap="flat" cmpd="sng" w="19050">
            <a:solidFill>
              <a:srgbClr val="4A86E8"/>
            </a:solidFill>
            <a:prstDash val="solid"/>
            <a:round/>
            <a:headEnd len="med" w="med" type="none"/>
            <a:tailEnd len="med" w="med" type="triangle"/>
          </a:ln>
        </xdr:spPr>
      </xdr:cxnSp>
      <xdr:cxnSp>
        <xdr:nvCxnSpPr>
          <xdr:cNvPr id="165" name="Shape 165"/>
          <xdr:cNvCxnSpPr>
            <a:stCxn id="129" idx="1"/>
            <a:endCxn id="128" idx="2"/>
          </xdr:cNvCxnSpPr>
        </xdr:nvCxnSpPr>
        <xdr:spPr>
          <a:xfrm rot="10800000">
            <a:off x="2369625" y="4757550"/>
            <a:ext cx="3492600" cy="378000"/>
          </a:xfrm>
          <a:prstGeom prst="straightConnector1">
            <a:avLst/>
          </a:prstGeom>
          <a:noFill/>
          <a:ln cap="flat" cmpd="sng" w="19050">
            <a:solidFill>
              <a:srgbClr val="4A86E8"/>
            </a:solidFill>
            <a:prstDash val="solid"/>
            <a:round/>
            <a:headEnd len="med" w="med" type="none"/>
            <a:tailEnd len="med" w="med" type="triangle"/>
          </a:ln>
        </xdr:spPr>
      </xdr:cxnSp>
    </xdr:grpSp>
    <xdr:clientData fLocksWithSheet="0"/>
  </xdr:oneCellAnchor>
  <xdr:oneCellAnchor>
    <xdr:from>
      <xdr:col>8</xdr:col>
      <xdr:colOff>971550</xdr:colOff>
      <xdr:row>111</xdr:row>
      <xdr:rowOff>38100</xdr:rowOff>
    </xdr:from>
    <xdr:ext cx="6705600" cy="4991100"/>
    <xdr:grpSp>
      <xdr:nvGrpSpPr>
        <xdr:cNvPr id="2" name="Shape 2" title="Drawing"/>
        <xdr:cNvGrpSpPr/>
      </xdr:nvGrpSpPr>
      <xdr:grpSpPr>
        <a:xfrm>
          <a:off x="-12" y="0"/>
          <a:ext cx="7640037" cy="5621550"/>
          <a:chOff x="-12" y="0"/>
          <a:chExt cx="7640037" cy="5621550"/>
        </a:xfrm>
      </xdr:grpSpPr>
      <xdr:sp>
        <xdr:nvSpPr>
          <xdr:cNvPr id="166" name="Shape 166"/>
          <xdr:cNvSpPr/>
        </xdr:nvSpPr>
        <xdr:spPr>
          <a:xfrm>
            <a:off x="0" y="0"/>
            <a:ext cx="1620300" cy="972000"/>
          </a:xfrm>
          <a:prstGeom prst="rect">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INTRODUCTION/</a:t>
            </a:r>
            <a:endParaRPr sz="1400"/>
          </a:p>
          <a:p>
            <a:pPr indent="0" lvl="0" marL="0" rtl="0" algn="ctr">
              <a:spcBef>
                <a:spcPts val="0"/>
              </a:spcBef>
              <a:spcAft>
                <a:spcPts val="0"/>
              </a:spcAft>
              <a:buNone/>
            </a:pPr>
            <a:r>
              <a:rPr lang="en-US" sz="1400"/>
              <a:t>BUILD RAPPORT</a:t>
            </a:r>
            <a:endParaRPr sz="1400"/>
          </a:p>
        </xdr:txBody>
      </xdr:sp>
      <xdr:sp>
        <xdr:nvSpPr>
          <xdr:cNvPr id="167" name="Shape 167"/>
          <xdr:cNvSpPr/>
        </xdr:nvSpPr>
        <xdr:spPr>
          <a:xfrm>
            <a:off x="-12" y="4649475"/>
            <a:ext cx="1620300" cy="972000"/>
          </a:xfrm>
          <a:prstGeom prst="rect">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MUST ASK Qs</a:t>
            </a:r>
            <a:endParaRPr sz="1400"/>
          </a:p>
        </xdr:txBody>
      </xdr:sp>
      <xdr:sp>
        <xdr:nvSpPr>
          <xdr:cNvPr id="168" name="Shape 168"/>
          <xdr:cNvSpPr/>
        </xdr:nvSpPr>
        <xdr:spPr>
          <a:xfrm>
            <a:off x="5862225" y="4649550"/>
            <a:ext cx="1620300" cy="972000"/>
          </a:xfrm>
          <a:prstGeom prst="rect">
            <a:avLst/>
          </a:prstGeom>
          <a:solidFill>
            <a:srgbClr val="FFD9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100"/>
              <a:t>RECOMMENDATION</a:t>
            </a:r>
            <a:endParaRPr sz="1100"/>
          </a:p>
        </xdr:txBody>
      </xdr:sp>
      <xdr:cxnSp>
        <xdr:nvCxnSpPr>
          <xdr:cNvPr id="169" name="Shape 169"/>
          <xdr:cNvCxnSpPr>
            <a:stCxn id="170" idx="3"/>
            <a:endCxn id="170" idx="3"/>
          </xdr:cNvCxnSpPr>
        </xdr:nvCxnSpPr>
        <xdr:spPr>
          <a:xfrm>
            <a:off x="3142025" y="2813450"/>
            <a:ext cx="0" cy="0"/>
          </a:xfrm>
          <a:prstGeom prst="straightConnector1">
            <a:avLst/>
          </a:prstGeom>
          <a:noFill/>
          <a:ln cap="flat" cmpd="sng" w="9525">
            <a:solidFill>
              <a:srgbClr val="000000"/>
            </a:solidFill>
            <a:prstDash val="solid"/>
            <a:round/>
            <a:headEnd len="med" w="med" type="none"/>
            <a:tailEnd len="med" w="med" type="none"/>
          </a:ln>
        </xdr:spPr>
      </xdr:cxnSp>
      <xdr:cxnSp>
        <xdr:nvCxnSpPr>
          <xdr:cNvPr id="171" name="Shape 171"/>
          <xdr:cNvCxnSpPr>
            <a:stCxn id="167" idx="3"/>
            <a:endCxn id="168" idx="1"/>
          </xdr:cNvCxnSpPr>
        </xdr:nvCxnSpPr>
        <xdr:spPr>
          <a:xfrm>
            <a:off x="1620288" y="5135475"/>
            <a:ext cx="4242000" cy="0"/>
          </a:xfrm>
          <a:prstGeom prst="straightConnector1">
            <a:avLst/>
          </a:prstGeom>
          <a:noFill/>
          <a:ln cap="flat" cmpd="sng" w="38100">
            <a:solidFill>
              <a:srgbClr val="00FF00"/>
            </a:solidFill>
            <a:prstDash val="solid"/>
            <a:round/>
            <a:headEnd len="med" w="med" type="none"/>
            <a:tailEnd len="med" w="med" type="triangle"/>
          </a:ln>
        </xdr:spPr>
      </xdr:cxnSp>
      <xdr:sp>
        <xdr:nvSpPr>
          <xdr:cNvPr id="172" name="Shape 172"/>
          <xdr:cNvSpPr/>
        </xdr:nvSpPr>
        <xdr:spPr>
          <a:xfrm>
            <a:off x="3912700" y="843425"/>
            <a:ext cx="1168200" cy="633300"/>
          </a:xfrm>
          <a:prstGeom prst="rect">
            <a:avLst/>
          </a:prstGeom>
          <a:solidFill>
            <a:srgbClr val="A4C2F4"/>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CAN'T</a:t>
            </a:r>
            <a:r>
              <a:rPr lang="en-US" sz="1000"/>
              <a:t> AFFORD</a:t>
            </a:r>
            <a:endParaRPr sz="1000"/>
          </a:p>
        </xdr:txBody>
      </xdr:sp>
      <xdr:cxnSp>
        <xdr:nvCxnSpPr>
          <xdr:cNvPr id="173" name="Shape 173"/>
          <xdr:cNvCxnSpPr>
            <a:stCxn id="167" idx="0"/>
            <a:endCxn id="170" idx="1"/>
          </xdr:cNvCxnSpPr>
        </xdr:nvCxnSpPr>
        <xdr:spPr>
          <a:xfrm flipH="1" rot="10800000">
            <a:off x="810138" y="2813475"/>
            <a:ext cx="264900" cy="1836000"/>
          </a:xfrm>
          <a:prstGeom prst="straightConnector1">
            <a:avLst/>
          </a:prstGeom>
          <a:noFill/>
          <a:ln cap="flat" cmpd="sng" w="19050">
            <a:solidFill>
              <a:srgbClr val="FF0000"/>
            </a:solidFill>
            <a:prstDash val="dash"/>
            <a:round/>
            <a:headEnd len="med" w="med" type="none"/>
            <a:tailEnd len="med" w="med" type="none"/>
          </a:ln>
        </xdr:spPr>
      </xdr:cxnSp>
      <xdr:cxnSp>
        <xdr:nvCxnSpPr>
          <xdr:cNvPr id="174" name="Shape 174"/>
          <xdr:cNvCxnSpPr>
            <a:stCxn id="170" idx="1"/>
            <a:endCxn id="166" idx="2"/>
          </xdr:cNvCxnSpPr>
        </xdr:nvCxnSpPr>
        <xdr:spPr>
          <a:xfrm rot="10800000">
            <a:off x="810125" y="972050"/>
            <a:ext cx="264900" cy="1841400"/>
          </a:xfrm>
          <a:prstGeom prst="straightConnector1">
            <a:avLst/>
          </a:prstGeom>
          <a:noFill/>
          <a:ln cap="flat" cmpd="sng" w="19050">
            <a:solidFill>
              <a:srgbClr val="FF0000"/>
            </a:solidFill>
            <a:prstDash val="dash"/>
            <a:round/>
            <a:headEnd len="med" w="med" type="none"/>
            <a:tailEnd len="med" w="med" type="none"/>
          </a:ln>
        </xdr:spPr>
      </xdr:cxnSp>
      <xdr:sp>
        <xdr:nvSpPr>
          <xdr:cNvPr id="175" name="Shape 175"/>
          <xdr:cNvSpPr/>
        </xdr:nvSpPr>
        <xdr:spPr>
          <a:xfrm>
            <a:off x="3912700" y="1542400"/>
            <a:ext cx="1168200" cy="633300"/>
          </a:xfrm>
          <a:prstGeom prst="rect">
            <a:avLst/>
          </a:prstGeom>
          <a:solidFill>
            <a:srgbClr val="A4C2F4"/>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PRINTING ONLY NO SPECS</a:t>
            </a:r>
            <a:endParaRPr sz="1000"/>
          </a:p>
        </xdr:txBody>
      </xdr:sp>
      <xdr:sp>
        <xdr:nvSpPr>
          <xdr:cNvPr id="176" name="Shape 176"/>
          <xdr:cNvSpPr/>
        </xdr:nvSpPr>
        <xdr:spPr>
          <a:xfrm>
            <a:off x="3912700" y="2241375"/>
            <a:ext cx="1168200" cy="633300"/>
          </a:xfrm>
          <a:prstGeom prst="rect">
            <a:avLst/>
          </a:prstGeom>
          <a:solidFill>
            <a:srgbClr val="A4C2F4"/>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ALREADY SIGNED-UP WITH COMPETITOR</a:t>
            </a:r>
            <a:endParaRPr sz="900"/>
          </a:p>
        </xdr:txBody>
      </xdr:sp>
      <xdr:sp>
        <xdr:nvSpPr>
          <xdr:cNvPr id="177" name="Shape 177"/>
          <xdr:cNvSpPr/>
        </xdr:nvSpPr>
        <xdr:spPr>
          <a:xfrm>
            <a:off x="3912700" y="3639325"/>
            <a:ext cx="1168200" cy="633300"/>
          </a:xfrm>
          <a:prstGeom prst="rect">
            <a:avLst/>
          </a:prstGeom>
          <a:solidFill>
            <a:srgbClr val="A4C2F4"/>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6 MOS/12 MOS LEAD</a:t>
            </a:r>
            <a:endParaRPr sz="1000"/>
          </a:p>
        </xdr:txBody>
      </xdr:sp>
      <xdr:sp>
        <xdr:nvSpPr>
          <xdr:cNvPr id="178" name="Shape 178"/>
          <xdr:cNvSpPr/>
        </xdr:nvSpPr>
        <xdr:spPr>
          <a:xfrm>
            <a:off x="3912700" y="2940338"/>
            <a:ext cx="1236600" cy="633300"/>
          </a:xfrm>
          <a:prstGeom prst="rect">
            <a:avLst/>
          </a:prstGeom>
          <a:solidFill>
            <a:srgbClr val="A4C2F4"/>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NO MS/ GHOSTWRITING</a:t>
            </a:r>
            <a:endParaRPr sz="1000"/>
          </a:p>
        </xdr:txBody>
      </xdr:sp>
      <xdr:sp>
        <xdr:nvSpPr>
          <xdr:cNvPr id="179" name="Shape 179"/>
          <xdr:cNvSpPr/>
        </xdr:nvSpPr>
        <xdr:spPr>
          <a:xfrm>
            <a:off x="3912700" y="4338300"/>
            <a:ext cx="1457700" cy="633300"/>
          </a:xfrm>
          <a:prstGeom prst="rect">
            <a:avLst/>
          </a:prstGeom>
          <a:solidFill>
            <a:srgbClr val="A4C2F4"/>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TECHNOLOGICALLY CHALLENGED</a:t>
            </a:r>
            <a:endParaRPr sz="1000"/>
          </a:p>
        </xdr:txBody>
      </xdr:sp>
      <xdr:sp>
        <xdr:nvSpPr>
          <xdr:cNvPr id="180" name="Shape 180"/>
          <xdr:cNvSpPr/>
        </xdr:nvSpPr>
        <xdr:spPr>
          <a:xfrm>
            <a:off x="3912700" y="144450"/>
            <a:ext cx="1236600" cy="633300"/>
          </a:xfrm>
          <a:prstGeom prst="rect">
            <a:avLst/>
          </a:prstGeom>
          <a:solidFill>
            <a:srgbClr val="A4C2F4"/>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FOREIGN LANGUAGE MS NO SPECS</a:t>
            </a:r>
            <a:endParaRPr sz="1000"/>
          </a:p>
        </xdr:txBody>
      </xdr:sp>
      <xdr:cxnSp>
        <xdr:nvCxnSpPr>
          <xdr:cNvPr id="181" name="Shape 181"/>
          <xdr:cNvCxnSpPr>
            <a:stCxn id="166" idx="3"/>
            <a:endCxn id="180" idx="1"/>
          </xdr:cNvCxnSpPr>
        </xdr:nvCxnSpPr>
        <xdr:spPr>
          <a:xfrm flipH="1" rot="10800000">
            <a:off x="1620300" y="461100"/>
            <a:ext cx="2292300" cy="249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82" name="Shape 182"/>
          <xdr:cNvCxnSpPr>
            <a:stCxn id="166" idx="3"/>
            <a:endCxn id="175" idx="1"/>
          </xdr:cNvCxnSpPr>
        </xdr:nvCxnSpPr>
        <xdr:spPr>
          <a:xfrm>
            <a:off x="1620300" y="486000"/>
            <a:ext cx="2292300" cy="13731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83" name="Shape 183"/>
          <xdr:cNvCxnSpPr>
            <a:stCxn id="166" idx="3"/>
            <a:endCxn id="172" idx="1"/>
          </xdr:cNvCxnSpPr>
        </xdr:nvCxnSpPr>
        <xdr:spPr>
          <a:xfrm>
            <a:off x="1620300" y="486000"/>
            <a:ext cx="2292300" cy="6741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84" name="Shape 184"/>
          <xdr:cNvCxnSpPr>
            <a:stCxn id="166" idx="3"/>
            <a:endCxn id="176" idx="1"/>
          </xdr:cNvCxnSpPr>
        </xdr:nvCxnSpPr>
        <xdr:spPr>
          <a:xfrm>
            <a:off x="1620300" y="486000"/>
            <a:ext cx="2292300" cy="20721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85" name="Shape 185"/>
          <xdr:cNvCxnSpPr>
            <a:stCxn id="166" idx="3"/>
            <a:endCxn id="178" idx="1"/>
          </xdr:cNvCxnSpPr>
        </xdr:nvCxnSpPr>
        <xdr:spPr>
          <a:xfrm>
            <a:off x="1620300" y="486000"/>
            <a:ext cx="2292300" cy="27711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86" name="Shape 186"/>
          <xdr:cNvCxnSpPr>
            <a:stCxn id="166" idx="3"/>
            <a:endCxn id="177" idx="1"/>
          </xdr:cNvCxnSpPr>
        </xdr:nvCxnSpPr>
        <xdr:spPr>
          <a:xfrm>
            <a:off x="1620300" y="486000"/>
            <a:ext cx="2292300" cy="34701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87" name="Shape 187"/>
          <xdr:cNvCxnSpPr>
            <a:stCxn id="166" idx="3"/>
            <a:endCxn id="179" idx="1"/>
          </xdr:cNvCxnSpPr>
        </xdr:nvCxnSpPr>
        <xdr:spPr>
          <a:xfrm>
            <a:off x="1620300" y="486000"/>
            <a:ext cx="2292300" cy="41691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88" name="Shape 188"/>
          <xdr:cNvCxnSpPr>
            <a:stCxn id="167" idx="3"/>
            <a:endCxn id="180" idx="1"/>
          </xdr:cNvCxnSpPr>
        </xdr:nvCxnSpPr>
        <xdr:spPr>
          <a:xfrm flipH="1" rot="10800000">
            <a:off x="1620288" y="461175"/>
            <a:ext cx="2292300" cy="46743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89" name="Shape 189"/>
          <xdr:cNvCxnSpPr>
            <a:stCxn id="167" idx="3"/>
            <a:endCxn id="172" idx="1"/>
          </xdr:cNvCxnSpPr>
        </xdr:nvCxnSpPr>
        <xdr:spPr>
          <a:xfrm flipH="1" rot="10800000">
            <a:off x="1620288" y="1160175"/>
            <a:ext cx="2292300" cy="39753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90" name="Shape 190"/>
          <xdr:cNvCxnSpPr>
            <a:stCxn id="167" idx="3"/>
            <a:endCxn id="175" idx="1"/>
          </xdr:cNvCxnSpPr>
        </xdr:nvCxnSpPr>
        <xdr:spPr>
          <a:xfrm flipH="1" rot="10800000">
            <a:off x="1620288" y="1859175"/>
            <a:ext cx="2292300" cy="32763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91" name="Shape 191"/>
          <xdr:cNvCxnSpPr>
            <a:stCxn id="167" idx="3"/>
            <a:endCxn id="176" idx="1"/>
          </xdr:cNvCxnSpPr>
        </xdr:nvCxnSpPr>
        <xdr:spPr>
          <a:xfrm flipH="1" rot="10800000">
            <a:off x="1620288" y="2558175"/>
            <a:ext cx="2292300" cy="25773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92" name="Shape 192"/>
          <xdr:cNvCxnSpPr>
            <a:stCxn id="167" idx="3"/>
            <a:endCxn id="178" idx="1"/>
          </xdr:cNvCxnSpPr>
        </xdr:nvCxnSpPr>
        <xdr:spPr>
          <a:xfrm flipH="1" rot="10800000">
            <a:off x="1620288" y="3256875"/>
            <a:ext cx="2292300" cy="18786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93" name="Shape 193"/>
          <xdr:cNvCxnSpPr>
            <a:stCxn id="167" idx="3"/>
            <a:endCxn id="177" idx="1"/>
          </xdr:cNvCxnSpPr>
        </xdr:nvCxnSpPr>
        <xdr:spPr>
          <a:xfrm flipH="1" rot="10800000">
            <a:off x="1620288" y="3955875"/>
            <a:ext cx="2292300" cy="11796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94" name="Shape 194"/>
          <xdr:cNvCxnSpPr>
            <a:stCxn id="167" idx="3"/>
            <a:endCxn id="179" idx="1"/>
          </xdr:cNvCxnSpPr>
        </xdr:nvCxnSpPr>
        <xdr:spPr>
          <a:xfrm flipH="1" rot="10800000">
            <a:off x="1620288" y="4654875"/>
            <a:ext cx="2292300" cy="4806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95" name="Shape 195"/>
          <xdr:cNvCxnSpPr>
            <a:stCxn id="166" idx="2"/>
            <a:endCxn id="167" idx="0"/>
          </xdr:cNvCxnSpPr>
        </xdr:nvCxnSpPr>
        <xdr:spPr>
          <a:xfrm>
            <a:off x="810150" y="972000"/>
            <a:ext cx="0" cy="3677400"/>
          </a:xfrm>
          <a:prstGeom prst="straightConnector1">
            <a:avLst/>
          </a:prstGeom>
          <a:noFill/>
          <a:ln cap="flat" cmpd="sng" w="38100">
            <a:solidFill>
              <a:srgbClr val="00FF00"/>
            </a:solidFill>
            <a:prstDash val="solid"/>
            <a:round/>
            <a:headEnd len="med" w="med" type="none"/>
            <a:tailEnd len="med" w="med" type="triangle"/>
          </a:ln>
        </xdr:spPr>
      </xdr:cxnSp>
      <xdr:cxnSp>
        <xdr:nvCxnSpPr>
          <xdr:cNvPr id="196" name="Shape 196"/>
          <xdr:cNvCxnSpPr>
            <a:stCxn id="168" idx="1"/>
            <a:endCxn id="179" idx="3"/>
          </xdr:cNvCxnSpPr>
        </xdr:nvCxnSpPr>
        <xdr:spPr>
          <a:xfrm rot="10800000">
            <a:off x="5370525" y="4654950"/>
            <a:ext cx="491700" cy="480600"/>
          </a:xfrm>
          <a:prstGeom prst="straightConnector1">
            <a:avLst/>
          </a:prstGeom>
          <a:noFill/>
          <a:ln cap="flat" cmpd="sng" w="19050">
            <a:solidFill>
              <a:srgbClr val="00FF00"/>
            </a:solidFill>
            <a:prstDash val="solid"/>
            <a:round/>
            <a:headEnd len="med" w="med" type="none"/>
            <a:tailEnd len="med" w="med" type="triangle"/>
          </a:ln>
        </xdr:spPr>
      </xdr:cxnSp>
      <xdr:cxnSp>
        <xdr:nvCxnSpPr>
          <xdr:cNvPr id="197" name="Shape 197"/>
          <xdr:cNvCxnSpPr>
            <a:stCxn id="168" idx="1"/>
            <a:endCxn id="172" idx="3"/>
          </xdr:cNvCxnSpPr>
        </xdr:nvCxnSpPr>
        <xdr:spPr>
          <a:xfrm rot="10800000">
            <a:off x="5081025" y="1159950"/>
            <a:ext cx="781200" cy="3975600"/>
          </a:xfrm>
          <a:prstGeom prst="straightConnector1">
            <a:avLst/>
          </a:prstGeom>
          <a:noFill/>
          <a:ln cap="flat" cmpd="sng" w="19050">
            <a:solidFill>
              <a:srgbClr val="00FF00"/>
            </a:solidFill>
            <a:prstDash val="solid"/>
            <a:round/>
            <a:headEnd len="med" w="med" type="none"/>
            <a:tailEnd len="med" w="med" type="triangle"/>
          </a:ln>
        </xdr:spPr>
      </xdr:cxnSp>
      <xdr:sp>
        <xdr:nvSpPr>
          <xdr:cNvPr id="170" name="Shape 170"/>
          <xdr:cNvSpPr/>
        </xdr:nvSpPr>
        <xdr:spPr>
          <a:xfrm>
            <a:off x="1075025" y="1115900"/>
            <a:ext cx="2067000" cy="33951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500"/>
              <a:t>CORE CUSTOMER</a:t>
            </a:r>
            <a:endParaRPr b="1" sz="1500"/>
          </a:p>
          <a:p>
            <a:pPr indent="-311150" lvl="0" marL="457200" rtl="0" algn="l">
              <a:lnSpc>
                <a:spcPct val="100000"/>
              </a:lnSpc>
              <a:spcBef>
                <a:spcPts val="0"/>
              </a:spcBef>
              <a:spcAft>
                <a:spcPts val="0"/>
              </a:spcAft>
              <a:buSzPts val="1300"/>
              <a:buChar char="●"/>
            </a:pPr>
            <a:r>
              <a:rPr lang="en-US" sz="1300"/>
              <a:t>English Speaking writers/authors</a:t>
            </a:r>
            <a:endParaRPr sz="1300"/>
          </a:p>
          <a:p>
            <a:pPr indent="-311150" lvl="0" marL="457200" rtl="0" algn="l">
              <a:lnSpc>
                <a:spcPct val="100000"/>
              </a:lnSpc>
              <a:spcBef>
                <a:spcPts val="0"/>
              </a:spcBef>
              <a:spcAft>
                <a:spcPts val="0"/>
              </a:spcAft>
              <a:buSzPts val="1300"/>
              <a:buChar char="●"/>
            </a:pPr>
            <a:r>
              <a:rPr lang="en-US" sz="1300"/>
              <a:t>Between 35-80 years old</a:t>
            </a:r>
            <a:endParaRPr sz="1300"/>
          </a:p>
          <a:p>
            <a:pPr indent="-311150" lvl="0" marL="457200" rtl="0" algn="l">
              <a:lnSpc>
                <a:spcPct val="100000"/>
              </a:lnSpc>
              <a:spcBef>
                <a:spcPts val="0"/>
              </a:spcBef>
              <a:spcAft>
                <a:spcPts val="0"/>
              </a:spcAft>
              <a:buSzPts val="1300"/>
              <a:buChar char="●"/>
            </a:pPr>
            <a:r>
              <a:rPr lang="en-US" sz="1300"/>
              <a:t>Nearly or completed manuscript</a:t>
            </a:r>
            <a:endParaRPr sz="1300"/>
          </a:p>
          <a:p>
            <a:pPr indent="-311150" lvl="0" marL="457200" rtl="0" algn="l">
              <a:lnSpc>
                <a:spcPct val="100000"/>
              </a:lnSpc>
              <a:spcBef>
                <a:spcPts val="0"/>
              </a:spcBef>
              <a:spcAft>
                <a:spcPts val="0"/>
              </a:spcAft>
              <a:buSzPts val="1300"/>
              <a:buChar char="●"/>
            </a:pPr>
            <a:r>
              <a:rPr lang="en-US" sz="1300"/>
              <a:t>Wants to leave a legacy through the book</a:t>
            </a:r>
            <a:endParaRPr sz="1300"/>
          </a:p>
          <a:p>
            <a:pPr indent="-311150" lvl="0" marL="457200" rtl="0" algn="l">
              <a:lnSpc>
                <a:spcPct val="100000"/>
              </a:lnSpc>
              <a:spcBef>
                <a:spcPts val="0"/>
              </a:spcBef>
              <a:spcAft>
                <a:spcPts val="0"/>
              </a:spcAft>
              <a:buSzPts val="1300"/>
              <a:buChar char="●"/>
            </a:pPr>
            <a:r>
              <a:rPr lang="en-US" sz="1300"/>
              <a:t>Has the disposable income to spend for the publishing of the book Computer literate</a:t>
            </a:r>
            <a:endParaRPr b="1" sz="1300"/>
          </a:p>
        </xdr:txBody>
      </xdr:sp>
      <xdr:sp>
        <xdr:nvSpPr>
          <xdr:cNvPr id="198" name="Shape 198"/>
          <xdr:cNvSpPr/>
        </xdr:nvSpPr>
        <xdr:spPr>
          <a:xfrm>
            <a:off x="6088275" y="3705000"/>
            <a:ext cx="1168200" cy="633300"/>
          </a:xfrm>
          <a:prstGeom prst="rect">
            <a:avLst/>
          </a:prstGeom>
          <a:solidFill>
            <a:srgbClr val="F6B2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SEND 6/12 MOS TEMPLATE</a:t>
            </a:r>
            <a:endParaRPr sz="1000"/>
          </a:p>
        </xdr:txBody>
      </xdr:sp>
      <xdr:cxnSp>
        <xdr:nvCxnSpPr>
          <xdr:cNvPr id="199" name="Shape 199"/>
          <xdr:cNvCxnSpPr>
            <a:stCxn id="177" idx="3"/>
            <a:endCxn id="198" idx="1"/>
          </xdr:cNvCxnSpPr>
        </xdr:nvCxnSpPr>
        <xdr:spPr>
          <a:xfrm>
            <a:off x="5080900" y="3955975"/>
            <a:ext cx="1007400" cy="65700"/>
          </a:xfrm>
          <a:prstGeom prst="straightConnector1">
            <a:avLst/>
          </a:prstGeom>
          <a:noFill/>
          <a:ln cap="flat" cmpd="sng" w="19050">
            <a:solidFill>
              <a:srgbClr val="4A86E8"/>
            </a:solidFill>
            <a:prstDash val="solid"/>
            <a:round/>
            <a:headEnd len="med" w="med" type="none"/>
            <a:tailEnd len="med" w="med" type="triangle"/>
          </a:ln>
        </xdr:spPr>
      </xdr:cxnSp>
      <xdr:sp>
        <xdr:nvSpPr>
          <xdr:cNvPr id="200" name="Shape 200"/>
          <xdr:cNvSpPr/>
        </xdr:nvSpPr>
        <xdr:spPr>
          <a:xfrm>
            <a:off x="5704725" y="352275"/>
            <a:ext cx="1935300" cy="1506900"/>
          </a:xfrm>
          <a:prstGeom prst="rect">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292100" lvl="0" marL="457200" rtl="0" algn="l">
              <a:spcBef>
                <a:spcPts val="0"/>
              </a:spcBef>
              <a:spcAft>
                <a:spcPts val="0"/>
              </a:spcAft>
              <a:buSzPts val="1000"/>
              <a:buChar char="●"/>
            </a:pPr>
            <a:r>
              <a:rPr lang="en-US" sz="1000"/>
              <a:t>TICK OFF OPEN CALL TASK</a:t>
            </a:r>
            <a:endParaRPr sz="1000"/>
          </a:p>
          <a:p>
            <a:pPr indent="-292100" lvl="0" marL="457200" rtl="0" algn="l">
              <a:spcBef>
                <a:spcPts val="0"/>
              </a:spcBef>
              <a:spcAft>
                <a:spcPts val="0"/>
              </a:spcAft>
              <a:buSzPts val="1000"/>
              <a:buChar char="●"/>
            </a:pPr>
            <a:r>
              <a:rPr lang="en-US" sz="1000"/>
              <a:t>CHANGE THE LEAD STATUS TO </a:t>
            </a:r>
            <a:r>
              <a:rPr i="1" lang="en-US" sz="1000"/>
              <a:t>LOW VALUE- (REASON CODE)’ or DEAD- (REASON CODE)</a:t>
            </a:r>
            <a:endParaRPr i="1" sz="1000"/>
          </a:p>
          <a:p>
            <a:pPr indent="-292100" lvl="0" marL="457200" rtl="0" algn="l">
              <a:spcBef>
                <a:spcPts val="0"/>
              </a:spcBef>
              <a:spcAft>
                <a:spcPts val="0"/>
              </a:spcAft>
              <a:buSzPts val="1000"/>
              <a:buChar char="●"/>
            </a:pPr>
            <a:r>
              <a:rPr lang="en-US" sz="1000"/>
              <a:t>LEAVE PERTINENT NOTES</a:t>
            </a:r>
            <a:endParaRPr sz="1000"/>
          </a:p>
        </xdr:txBody>
      </xdr:sp>
      <xdr:sp>
        <xdr:nvSpPr>
          <xdr:cNvPr id="201" name="Shape 201"/>
          <xdr:cNvSpPr/>
        </xdr:nvSpPr>
        <xdr:spPr>
          <a:xfrm>
            <a:off x="5704725" y="2267700"/>
            <a:ext cx="1935300" cy="1179600"/>
          </a:xfrm>
          <a:prstGeom prst="rect">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292100" lvl="0" marL="457200" rtl="0" algn="l">
              <a:spcBef>
                <a:spcPts val="0"/>
              </a:spcBef>
              <a:spcAft>
                <a:spcPts val="0"/>
              </a:spcAft>
              <a:buSzPts val="1000"/>
              <a:buChar char="●"/>
            </a:pPr>
            <a:r>
              <a:rPr lang="en-US" sz="1000"/>
              <a:t>TICK OFF OPEN CALL TASK</a:t>
            </a:r>
            <a:endParaRPr sz="1000"/>
          </a:p>
          <a:p>
            <a:pPr indent="-292100" lvl="0" marL="457200" rtl="0" algn="l">
              <a:spcBef>
                <a:spcPts val="0"/>
              </a:spcBef>
              <a:spcAft>
                <a:spcPts val="0"/>
              </a:spcAft>
              <a:buSzPts val="1000"/>
              <a:buChar char="●"/>
            </a:pPr>
            <a:r>
              <a:rPr lang="en-US" sz="1000"/>
              <a:t>CHANGE THE LEAD STATUS TO </a:t>
            </a:r>
            <a:r>
              <a:rPr i="1" lang="en-US" sz="1000"/>
              <a:t>COMMUNICATING</a:t>
            </a:r>
            <a:endParaRPr i="1" sz="1000"/>
          </a:p>
          <a:p>
            <a:pPr indent="-292100" lvl="0" marL="457200" rtl="0" algn="l">
              <a:spcBef>
                <a:spcPts val="0"/>
              </a:spcBef>
              <a:spcAft>
                <a:spcPts val="0"/>
              </a:spcAft>
              <a:buSzPts val="1000"/>
              <a:buChar char="●"/>
            </a:pPr>
            <a:r>
              <a:rPr lang="en-US" sz="1000"/>
              <a:t>LEAVE PERTINENT NOTES</a:t>
            </a:r>
            <a:endParaRPr sz="1000"/>
          </a:p>
        </xdr:txBody>
      </xdr:sp>
      <xdr:cxnSp>
        <xdr:nvCxnSpPr>
          <xdr:cNvPr id="202" name="Shape 202"/>
          <xdr:cNvCxnSpPr>
            <a:stCxn id="198" idx="0"/>
            <a:endCxn id="201" idx="2"/>
          </xdr:cNvCxnSpPr>
        </xdr:nvCxnSpPr>
        <xdr:spPr>
          <a:xfrm rot="10800000">
            <a:off x="6672375" y="3447300"/>
            <a:ext cx="0" cy="257700"/>
          </a:xfrm>
          <a:prstGeom prst="straightConnector1">
            <a:avLst/>
          </a:prstGeom>
          <a:noFill/>
          <a:ln cap="flat" cmpd="sng" w="19050">
            <a:solidFill>
              <a:srgbClr val="4A86E8"/>
            </a:solidFill>
            <a:prstDash val="solid"/>
            <a:round/>
            <a:headEnd len="med" w="med" type="none"/>
            <a:tailEnd len="med" w="med" type="triangle"/>
          </a:ln>
        </xdr:spPr>
      </xdr:cxnSp>
      <xdr:cxnSp>
        <xdr:nvCxnSpPr>
          <xdr:cNvPr id="203" name="Shape 203"/>
          <xdr:cNvCxnSpPr>
            <a:stCxn id="180" idx="3"/>
            <a:endCxn id="200" idx="1"/>
          </xdr:cNvCxnSpPr>
        </xdr:nvCxnSpPr>
        <xdr:spPr>
          <a:xfrm>
            <a:off x="5149300" y="461100"/>
            <a:ext cx="555300" cy="644700"/>
          </a:xfrm>
          <a:prstGeom prst="straightConnector1">
            <a:avLst/>
          </a:prstGeom>
          <a:noFill/>
          <a:ln cap="flat" cmpd="sng" w="19050">
            <a:solidFill>
              <a:srgbClr val="4A86E8"/>
            </a:solidFill>
            <a:prstDash val="solid"/>
            <a:round/>
            <a:headEnd len="med" w="med" type="none"/>
            <a:tailEnd len="med" w="med" type="triangle"/>
          </a:ln>
        </xdr:spPr>
      </xdr:cxnSp>
      <xdr:cxnSp>
        <xdr:nvCxnSpPr>
          <xdr:cNvPr id="204" name="Shape 204"/>
          <xdr:cNvCxnSpPr>
            <a:stCxn id="172" idx="3"/>
            <a:endCxn id="200" idx="1"/>
          </xdr:cNvCxnSpPr>
        </xdr:nvCxnSpPr>
        <xdr:spPr>
          <a:xfrm flipH="1" rot="10800000">
            <a:off x="5080900" y="1105775"/>
            <a:ext cx="623700" cy="54300"/>
          </a:xfrm>
          <a:prstGeom prst="straightConnector1">
            <a:avLst/>
          </a:prstGeom>
          <a:noFill/>
          <a:ln cap="flat" cmpd="sng" w="19050">
            <a:solidFill>
              <a:srgbClr val="4A86E8"/>
            </a:solidFill>
            <a:prstDash val="solid"/>
            <a:round/>
            <a:headEnd len="med" w="med" type="none"/>
            <a:tailEnd len="med" w="med" type="triangle"/>
          </a:ln>
        </xdr:spPr>
      </xdr:cxnSp>
      <xdr:cxnSp>
        <xdr:nvCxnSpPr>
          <xdr:cNvPr id="205" name="Shape 205"/>
          <xdr:cNvCxnSpPr>
            <a:stCxn id="175" idx="3"/>
            <a:endCxn id="200" idx="1"/>
          </xdr:cNvCxnSpPr>
        </xdr:nvCxnSpPr>
        <xdr:spPr>
          <a:xfrm flipH="1" rot="10800000">
            <a:off x="5080900" y="1105750"/>
            <a:ext cx="623700" cy="753300"/>
          </a:xfrm>
          <a:prstGeom prst="straightConnector1">
            <a:avLst/>
          </a:prstGeom>
          <a:noFill/>
          <a:ln cap="flat" cmpd="sng" w="19050">
            <a:solidFill>
              <a:srgbClr val="4A86E8"/>
            </a:solidFill>
            <a:prstDash val="solid"/>
            <a:round/>
            <a:headEnd len="med" w="med" type="none"/>
            <a:tailEnd len="med" w="med" type="triangle"/>
          </a:ln>
        </xdr:spPr>
      </xdr:cxnSp>
      <xdr:cxnSp>
        <xdr:nvCxnSpPr>
          <xdr:cNvPr id="206" name="Shape 206"/>
          <xdr:cNvCxnSpPr>
            <a:stCxn id="176" idx="3"/>
            <a:endCxn id="200" idx="1"/>
          </xdr:cNvCxnSpPr>
        </xdr:nvCxnSpPr>
        <xdr:spPr>
          <a:xfrm flipH="1" rot="10800000">
            <a:off x="5080900" y="1105725"/>
            <a:ext cx="623700" cy="1452300"/>
          </a:xfrm>
          <a:prstGeom prst="straightConnector1">
            <a:avLst/>
          </a:prstGeom>
          <a:noFill/>
          <a:ln cap="flat" cmpd="sng" w="19050">
            <a:solidFill>
              <a:srgbClr val="4A86E8"/>
            </a:solidFill>
            <a:prstDash val="solid"/>
            <a:round/>
            <a:headEnd len="med" w="med" type="none"/>
            <a:tailEnd len="med" w="med" type="triangle"/>
          </a:ln>
        </xdr:spPr>
      </xdr:cxnSp>
      <xdr:cxnSp>
        <xdr:nvCxnSpPr>
          <xdr:cNvPr id="207" name="Shape 207"/>
          <xdr:cNvCxnSpPr>
            <a:stCxn id="178" idx="3"/>
            <a:endCxn id="200" idx="1"/>
          </xdr:cNvCxnSpPr>
        </xdr:nvCxnSpPr>
        <xdr:spPr>
          <a:xfrm flipH="1" rot="10800000">
            <a:off x="5149300" y="1105688"/>
            <a:ext cx="555300" cy="2151300"/>
          </a:xfrm>
          <a:prstGeom prst="straightConnector1">
            <a:avLst/>
          </a:prstGeom>
          <a:noFill/>
          <a:ln cap="flat" cmpd="sng" w="19050">
            <a:solidFill>
              <a:srgbClr val="4A86E8"/>
            </a:solidFill>
            <a:prstDash val="solid"/>
            <a:round/>
            <a:headEnd len="med" w="med" type="none"/>
            <a:tailEnd len="med" w="med" type="triangle"/>
          </a:ln>
        </xdr:spPr>
      </xdr:cxnSp>
      <xdr:cxnSp>
        <xdr:nvCxnSpPr>
          <xdr:cNvPr id="208" name="Shape 208"/>
          <xdr:cNvCxnSpPr>
            <a:stCxn id="179" idx="3"/>
            <a:endCxn id="200" idx="1"/>
          </xdr:cNvCxnSpPr>
        </xdr:nvCxnSpPr>
        <xdr:spPr>
          <a:xfrm flipH="1" rot="10800000">
            <a:off x="5370400" y="1105650"/>
            <a:ext cx="334200" cy="3549300"/>
          </a:xfrm>
          <a:prstGeom prst="straightConnector1">
            <a:avLst/>
          </a:prstGeom>
          <a:noFill/>
          <a:ln cap="flat" cmpd="sng" w="19050">
            <a:solidFill>
              <a:srgbClr val="4A86E8"/>
            </a:solidFill>
            <a:prstDash val="solid"/>
            <a:round/>
            <a:headEnd len="med" w="med" type="none"/>
            <a:tailEnd len="med" w="med" type="triangle"/>
          </a:ln>
        </xdr:spPr>
      </xdr:cxnSp>
    </xdr:grpSp>
    <xdr:clientData fLocksWithSheet="0"/>
  </xdr:oneCellAnchor>
  <xdr:oneCellAnchor>
    <xdr:from>
      <xdr:col>5</xdr:col>
      <xdr:colOff>714375</xdr:colOff>
      <xdr:row>80</xdr:row>
      <xdr:rowOff>-142875</xdr:rowOff>
    </xdr:from>
    <xdr:ext cx="5295900" cy="5667375"/>
    <xdr:grpSp>
      <xdr:nvGrpSpPr>
        <xdr:cNvPr id="2" name="Shape 2" title="Drawing"/>
        <xdr:cNvGrpSpPr/>
      </xdr:nvGrpSpPr>
      <xdr:grpSpPr>
        <a:xfrm>
          <a:off x="1409100" y="31825"/>
          <a:ext cx="4801950" cy="5651350"/>
          <a:chOff x="1409100" y="31825"/>
          <a:chExt cx="4801950" cy="5651350"/>
        </a:xfrm>
      </xdr:grpSpPr>
      <xdr:sp>
        <xdr:nvSpPr>
          <xdr:cNvPr id="209" name="Shape 209"/>
          <xdr:cNvSpPr/>
        </xdr:nvSpPr>
        <xdr:spPr>
          <a:xfrm>
            <a:off x="1409100" y="31825"/>
            <a:ext cx="4801800" cy="1139100"/>
          </a:xfrm>
          <a:prstGeom prst="rect">
            <a:avLst/>
          </a:prstGeom>
          <a:solidFill>
            <a:srgbClr val="DD7E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INCOMING CALL FROM:</a:t>
            </a:r>
            <a:endParaRPr b="1" sz="1400"/>
          </a:p>
          <a:p>
            <a:pPr indent="-317500" lvl="0" marL="457200" rtl="0" algn="l">
              <a:spcBef>
                <a:spcPts val="0"/>
              </a:spcBef>
              <a:spcAft>
                <a:spcPts val="0"/>
              </a:spcAft>
              <a:buSzPts val="1400"/>
              <a:buChar char="●"/>
            </a:pPr>
            <a:r>
              <a:rPr lang="en-US" sz="1400"/>
              <a:t>Tellwell Publishing Consultants (Canada Call Queue)</a:t>
            </a:r>
            <a:endParaRPr sz="1400"/>
          </a:p>
          <a:p>
            <a:pPr indent="-317500" lvl="0" marL="457200" rtl="0" algn="l">
              <a:spcBef>
                <a:spcPts val="0"/>
              </a:spcBef>
              <a:spcAft>
                <a:spcPts val="0"/>
              </a:spcAft>
              <a:buSzPts val="1400"/>
              <a:buChar char="●"/>
            </a:pPr>
            <a:r>
              <a:rPr lang="en-US" sz="1400"/>
              <a:t>Tellwell USA (US Call Queue)</a:t>
            </a:r>
            <a:endParaRPr sz="1400"/>
          </a:p>
          <a:p>
            <a:pPr indent="-317500" lvl="0" marL="457200" rtl="0" algn="l">
              <a:spcBef>
                <a:spcPts val="0"/>
              </a:spcBef>
              <a:spcAft>
                <a:spcPts val="0"/>
              </a:spcAft>
              <a:buSzPts val="1400"/>
              <a:buChar char="●"/>
            </a:pPr>
            <a:r>
              <a:rPr lang="en-US" sz="1400"/>
              <a:t>Tellwell Australia (Australia Call Queue)</a:t>
            </a:r>
            <a:endParaRPr sz="1400"/>
          </a:p>
          <a:p>
            <a:pPr indent="-317500" lvl="0" marL="457200" rtl="0" algn="l">
              <a:spcBef>
                <a:spcPts val="0"/>
              </a:spcBef>
              <a:spcAft>
                <a:spcPts val="0"/>
              </a:spcAft>
              <a:buSzPts val="1400"/>
              <a:buChar char="●"/>
            </a:pPr>
            <a:r>
              <a:rPr lang="en-US" sz="1400"/>
              <a:t>Tellwell UK (UKI Call Queue)</a:t>
            </a:r>
            <a:endParaRPr sz="1400"/>
          </a:p>
        </xdr:txBody>
      </xdr:sp>
      <xdr:sp>
        <xdr:nvSpPr>
          <xdr:cNvPr id="210" name="Shape 210"/>
          <xdr:cNvSpPr/>
        </xdr:nvSpPr>
        <xdr:spPr>
          <a:xfrm>
            <a:off x="1660050" y="1431300"/>
            <a:ext cx="4299900" cy="534900"/>
          </a:xfrm>
          <a:prstGeom prst="rect">
            <a:avLst/>
          </a:prstGeom>
          <a:solidFill>
            <a:srgbClr val="DD7E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CHECK CRM POP-UP WINDOW/ SEARCH FOR LEAD INFO</a:t>
            </a:r>
            <a:endParaRPr sz="1400"/>
          </a:p>
        </xdr:txBody>
      </xdr:sp>
      <xdr:sp>
        <xdr:nvSpPr>
          <xdr:cNvPr id="211" name="Shape 211"/>
          <xdr:cNvSpPr/>
        </xdr:nvSpPr>
        <xdr:spPr>
          <a:xfrm>
            <a:off x="1409100" y="2280900"/>
            <a:ext cx="2193000" cy="834300"/>
          </a:xfrm>
          <a:prstGeom prst="rect">
            <a:avLst/>
          </a:prstGeom>
          <a:solidFill>
            <a:srgbClr val="6AA84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OWNER NO LONGER ACTIVE/NO RECORD IN CRM</a:t>
            </a:r>
            <a:endParaRPr sz="1400"/>
          </a:p>
        </xdr:txBody>
      </xdr:sp>
      <xdr:sp>
        <xdr:nvSpPr>
          <xdr:cNvPr id="212" name="Shape 212"/>
          <xdr:cNvSpPr/>
        </xdr:nvSpPr>
        <xdr:spPr>
          <a:xfrm>
            <a:off x="4017900" y="2280900"/>
            <a:ext cx="2193000" cy="834300"/>
          </a:xfrm>
          <a:prstGeom prst="rect">
            <a:avLst/>
          </a:prstGeom>
          <a:solidFill>
            <a:srgbClr val="E066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OWNER IS ACTIVE PC</a:t>
            </a:r>
            <a:endParaRPr sz="1400"/>
          </a:p>
        </xdr:txBody>
      </xdr:sp>
      <xdr:sp>
        <xdr:nvSpPr>
          <xdr:cNvPr id="213" name="Shape 213"/>
          <xdr:cNvSpPr/>
        </xdr:nvSpPr>
        <xdr:spPr>
          <a:xfrm>
            <a:off x="1409100" y="3314713"/>
            <a:ext cx="2193000" cy="495300"/>
          </a:xfrm>
          <a:prstGeom prst="rect">
            <a:avLst/>
          </a:prstGeom>
          <a:solidFill>
            <a:srgbClr val="6AA84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TAKE CALL</a:t>
            </a:r>
            <a:endParaRPr sz="1400"/>
          </a:p>
        </xdr:txBody>
      </xdr:sp>
      <xdr:sp>
        <xdr:nvSpPr>
          <xdr:cNvPr id="214" name="Shape 214"/>
          <xdr:cNvSpPr/>
        </xdr:nvSpPr>
        <xdr:spPr>
          <a:xfrm>
            <a:off x="4017900" y="3314713"/>
            <a:ext cx="2193000" cy="495300"/>
          </a:xfrm>
          <a:prstGeom prst="rect">
            <a:avLst/>
          </a:prstGeom>
          <a:solidFill>
            <a:srgbClr val="E066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REFRAIN FROM ANSWERING</a:t>
            </a:r>
            <a:endParaRPr sz="1400"/>
          </a:p>
        </xdr:txBody>
      </xdr:sp>
      <xdr:sp>
        <xdr:nvSpPr>
          <xdr:cNvPr id="215" name="Shape 215"/>
          <xdr:cNvSpPr/>
        </xdr:nvSpPr>
        <xdr:spPr>
          <a:xfrm>
            <a:off x="1409100" y="4009550"/>
            <a:ext cx="2193000" cy="706200"/>
          </a:xfrm>
          <a:prstGeom prst="rect">
            <a:avLst/>
          </a:prstGeom>
          <a:solidFill>
            <a:srgbClr val="6AA84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CREATE LEAD/REQUEST REASSIGNMENT</a:t>
            </a:r>
            <a:endParaRPr sz="1400"/>
          </a:p>
        </xdr:txBody>
      </xdr:sp>
      <xdr:sp>
        <xdr:nvSpPr>
          <xdr:cNvPr id="216" name="Shape 216"/>
          <xdr:cNvSpPr/>
        </xdr:nvSpPr>
        <xdr:spPr>
          <a:xfrm>
            <a:off x="4017900" y="4009550"/>
            <a:ext cx="2193000" cy="706200"/>
          </a:xfrm>
          <a:prstGeom prst="rect">
            <a:avLst/>
          </a:prstGeom>
          <a:solidFill>
            <a:srgbClr val="6AA84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TAKE MESSAGE AND PASS ON TO ASSIGNED PC</a:t>
            </a:r>
            <a:endParaRPr sz="1400"/>
          </a:p>
        </xdr:txBody>
      </xdr:sp>
      <xdr:sp>
        <xdr:nvSpPr>
          <xdr:cNvPr id="217" name="Shape 217"/>
          <xdr:cNvSpPr/>
        </xdr:nvSpPr>
        <xdr:spPr>
          <a:xfrm>
            <a:off x="2713500" y="4976975"/>
            <a:ext cx="2193000" cy="706200"/>
          </a:xfrm>
          <a:prstGeom prst="rect">
            <a:avLst/>
          </a:prstGeom>
          <a:solidFill>
            <a:srgbClr val="FF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PROCEED WITH PUBLISHING CONSULTATION</a:t>
            </a:r>
            <a:endParaRPr sz="1400"/>
          </a:p>
        </xdr:txBody>
      </xdr:sp>
      <xdr:cxnSp>
        <xdr:nvCxnSpPr>
          <xdr:cNvPr id="218" name="Shape 218"/>
          <xdr:cNvCxnSpPr>
            <a:stCxn id="209" idx="2"/>
            <a:endCxn id="210" idx="0"/>
          </xdr:cNvCxnSpPr>
        </xdr:nvCxnSpPr>
        <xdr:spPr>
          <a:xfrm>
            <a:off x="3810000" y="1170925"/>
            <a:ext cx="0" cy="260400"/>
          </a:xfrm>
          <a:prstGeom prst="straightConnector1">
            <a:avLst/>
          </a:prstGeom>
          <a:noFill/>
          <a:ln cap="flat" cmpd="sng" w="28575">
            <a:solidFill>
              <a:srgbClr val="4A86E8"/>
            </a:solidFill>
            <a:prstDash val="solid"/>
            <a:round/>
            <a:headEnd len="med" w="med" type="none"/>
            <a:tailEnd len="med" w="med" type="triangle"/>
          </a:ln>
        </xdr:spPr>
      </xdr:cxnSp>
      <xdr:cxnSp>
        <xdr:nvCxnSpPr>
          <xdr:cNvPr id="219" name="Shape 219"/>
          <xdr:cNvCxnSpPr>
            <a:endCxn id="213" idx="0"/>
          </xdr:cNvCxnSpPr>
        </xdr:nvCxnSpPr>
        <xdr:spPr>
          <a:xfrm>
            <a:off x="2505600" y="3115213"/>
            <a:ext cx="0" cy="199500"/>
          </a:xfrm>
          <a:prstGeom prst="straightConnector1">
            <a:avLst/>
          </a:prstGeom>
          <a:noFill/>
          <a:ln cap="flat" cmpd="sng" w="28575">
            <a:solidFill>
              <a:srgbClr val="4A86E8"/>
            </a:solidFill>
            <a:prstDash val="solid"/>
            <a:round/>
            <a:headEnd len="med" w="med" type="none"/>
            <a:tailEnd len="med" w="med" type="triangle"/>
          </a:ln>
        </xdr:spPr>
      </xdr:cxnSp>
      <xdr:cxnSp>
        <xdr:nvCxnSpPr>
          <xdr:cNvPr id="220" name="Shape 220"/>
          <xdr:cNvCxnSpPr>
            <a:endCxn id="215" idx="0"/>
          </xdr:cNvCxnSpPr>
        </xdr:nvCxnSpPr>
        <xdr:spPr>
          <a:xfrm>
            <a:off x="2505600" y="3810050"/>
            <a:ext cx="0" cy="199500"/>
          </a:xfrm>
          <a:prstGeom prst="straightConnector1">
            <a:avLst/>
          </a:prstGeom>
          <a:noFill/>
          <a:ln cap="flat" cmpd="sng" w="28575">
            <a:solidFill>
              <a:srgbClr val="4A86E8"/>
            </a:solidFill>
            <a:prstDash val="solid"/>
            <a:round/>
            <a:headEnd len="med" w="med" type="none"/>
            <a:tailEnd len="med" w="med" type="triangle"/>
          </a:ln>
        </xdr:spPr>
      </xdr:cxnSp>
      <xdr:cxnSp>
        <xdr:nvCxnSpPr>
          <xdr:cNvPr id="221" name="Shape 221"/>
          <xdr:cNvCxnSpPr>
            <a:stCxn id="212" idx="2"/>
            <a:endCxn id="214" idx="0"/>
          </xdr:cNvCxnSpPr>
        </xdr:nvCxnSpPr>
        <xdr:spPr>
          <a:xfrm>
            <a:off x="5114400" y="3115200"/>
            <a:ext cx="0" cy="199500"/>
          </a:xfrm>
          <a:prstGeom prst="straightConnector1">
            <a:avLst/>
          </a:prstGeom>
          <a:noFill/>
          <a:ln cap="flat" cmpd="sng" w="28575">
            <a:solidFill>
              <a:srgbClr val="4A86E8"/>
            </a:solidFill>
            <a:prstDash val="solid"/>
            <a:round/>
            <a:headEnd len="med" w="med" type="none"/>
            <a:tailEnd len="med" w="med" type="triangle"/>
          </a:ln>
        </xdr:spPr>
      </xdr:cxnSp>
      <xdr:cxnSp>
        <xdr:nvCxnSpPr>
          <xdr:cNvPr id="222" name="Shape 222"/>
          <xdr:cNvCxnSpPr>
            <a:stCxn id="212" idx="1"/>
            <a:endCxn id="213" idx="3"/>
          </xdr:cNvCxnSpPr>
        </xdr:nvCxnSpPr>
        <xdr:spPr>
          <a:xfrm flipH="1">
            <a:off x="3602100" y="2698050"/>
            <a:ext cx="415800" cy="864300"/>
          </a:xfrm>
          <a:prstGeom prst="straightConnector1">
            <a:avLst/>
          </a:prstGeom>
          <a:noFill/>
          <a:ln cap="flat" cmpd="sng" w="28575">
            <a:solidFill>
              <a:srgbClr val="4A86E8"/>
            </a:solidFill>
            <a:prstDash val="solid"/>
            <a:round/>
            <a:headEnd len="med" w="med" type="none"/>
            <a:tailEnd len="med" w="med" type="triangle"/>
          </a:ln>
        </xdr:spPr>
      </xdr:cxnSp>
      <xdr:cxnSp>
        <xdr:nvCxnSpPr>
          <xdr:cNvPr id="223" name="Shape 223"/>
          <xdr:cNvCxnSpPr>
            <a:stCxn id="213" idx="3"/>
            <a:endCxn id="216" idx="1"/>
          </xdr:cNvCxnSpPr>
        </xdr:nvCxnSpPr>
        <xdr:spPr>
          <a:xfrm>
            <a:off x="3602100" y="3562363"/>
            <a:ext cx="415800" cy="800400"/>
          </a:xfrm>
          <a:prstGeom prst="straightConnector1">
            <a:avLst/>
          </a:prstGeom>
          <a:noFill/>
          <a:ln cap="flat" cmpd="sng" w="28575">
            <a:solidFill>
              <a:srgbClr val="4A86E8"/>
            </a:solidFill>
            <a:prstDash val="solid"/>
            <a:round/>
            <a:headEnd len="med" w="med" type="none"/>
            <a:tailEnd len="med" w="med" type="triangle"/>
          </a:ln>
        </xdr:spPr>
      </xdr:cxnSp>
      <xdr:cxnSp>
        <xdr:nvCxnSpPr>
          <xdr:cNvPr id="224" name="Shape 224"/>
          <xdr:cNvCxnSpPr>
            <a:stCxn id="210" idx="1"/>
            <a:endCxn id="211" idx="1"/>
          </xdr:cNvCxnSpPr>
        </xdr:nvCxnSpPr>
        <xdr:spPr>
          <a:xfrm flipH="1">
            <a:off x="1409250" y="1698750"/>
            <a:ext cx="250800" cy="999300"/>
          </a:xfrm>
          <a:prstGeom prst="bentConnector3">
            <a:avLst>
              <a:gd fmla="val 195006" name="adj1"/>
            </a:avLst>
          </a:prstGeom>
          <a:noFill/>
          <a:ln cap="flat" cmpd="sng" w="28575">
            <a:solidFill>
              <a:srgbClr val="4A86E8"/>
            </a:solidFill>
            <a:prstDash val="solid"/>
            <a:round/>
            <a:headEnd len="med" w="med" type="none"/>
            <a:tailEnd len="med" w="med" type="triangle"/>
          </a:ln>
        </xdr:spPr>
      </xdr:cxnSp>
      <xdr:cxnSp>
        <xdr:nvCxnSpPr>
          <xdr:cNvPr id="225" name="Shape 225"/>
          <xdr:cNvCxnSpPr>
            <a:stCxn id="210" idx="3"/>
            <a:endCxn id="212" idx="3"/>
          </xdr:cNvCxnSpPr>
        </xdr:nvCxnSpPr>
        <xdr:spPr>
          <a:xfrm>
            <a:off x="5959950" y="1698750"/>
            <a:ext cx="251100" cy="999300"/>
          </a:xfrm>
          <a:prstGeom prst="bentConnector3">
            <a:avLst>
              <a:gd fmla="val 194773" name="adj1"/>
            </a:avLst>
          </a:prstGeom>
          <a:noFill/>
          <a:ln cap="flat" cmpd="sng" w="28575">
            <a:solidFill>
              <a:srgbClr val="4A86E8"/>
            </a:solidFill>
            <a:prstDash val="solid"/>
            <a:round/>
            <a:headEnd len="med" w="med" type="none"/>
            <a:tailEnd len="med" w="med" type="triangle"/>
          </a:ln>
        </xdr:spPr>
      </xdr:cxnSp>
      <xdr:cxnSp>
        <xdr:nvCxnSpPr>
          <xdr:cNvPr id="226" name="Shape 226"/>
          <xdr:cNvCxnSpPr>
            <a:stCxn id="215" idx="2"/>
            <a:endCxn id="217" idx="1"/>
          </xdr:cNvCxnSpPr>
        </xdr:nvCxnSpPr>
        <xdr:spPr>
          <a:xfrm flipH="1" rot="-5400000">
            <a:off x="2302350" y="4919000"/>
            <a:ext cx="614400" cy="207900"/>
          </a:xfrm>
          <a:prstGeom prst="bentConnector2">
            <a:avLst/>
          </a:prstGeom>
          <a:noFill/>
          <a:ln cap="flat" cmpd="sng" w="28575">
            <a:solidFill>
              <a:srgbClr val="4A86E8"/>
            </a:solidFill>
            <a:prstDash val="solid"/>
            <a:round/>
            <a:headEnd len="med" w="med" type="none"/>
            <a:tailEnd len="med" w="med" type="triangle"/>
          </a:ln>
        </xdr:spPr>
      </xdr:cxn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140</xdr:row>
      <xdr:rowOff>-123825</xdr:rowOff>
    </xdr:from>
    <xdr:ext cx="10763250" cy="6067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2743200</xdr:colOff>
      <xdr:row>173</xdr:row>
      <xdr:rowOff>200025</xdr:rowOff>
    </xdr:from>
    <xdr:ext cx="10782300" cy="60674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9525</xdr:colOff>
      <xdr:row>209</xdr:row>
      <xdr:rowOff>9525</xdr:rowOff>
    </xdr:from>
    <xdr:ext cx="10782300" cy="60674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590550</xdr:colOff>
      <xdr:row>3</xdr:row>
      <xdr:rowOff>76200</xdr:rowOff>
    </xdr:from>
    <xdr:ext cx="6934200" cy="5448300"/>
    <xdr:grpSp>
      <xdr:nvGrpSpPr>
        <xdr:cNvPr id="2" name="Shape 2" title="Drawing"/>
        <xdr:cNvGrpSpPr/>
      </xdr:nvGrpSpPr>
      <xdr:grpSpPr>
        <a:xfrm>
          <a:off x="401650" y="161550"/>
          <a:ext cx="6864050" cy="5391900"/>
          <a:chOff x="401650" y="161550"/>
          <a:chExt cx="6864050" cy="5391900"/>
        </a:xfrm>
      </xdr:grpSpPr>
      <xdr:sp>
        <xdr:nvSpPr>
          <xdr:cNvPr id="227" name="Shape 227"/>
          <xdr:cNvSpPr/>
        </xdr:nvSpPr>
        <xdr:spPr>
          <a:xfrm>
            <a:off x="401650" y="161550"/>
            <a:ext cx="648000" cy="648000"/>
          </a:xfrm>
          <a:prstGeom prst="roundRect">
            <a:avLst>
              <a:gd fmla="val 16667" name="adj"/>
            </a:avLst>
          </a:prstGeom>
          <a:solidFill>
            <a:srgbClr val="1155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4200">
                <a:solidFill>
                  <a:srgbClr val="FFFFFF"/>
                </a:solidFill>
              </a:rPr>
              <a:t>1</a:t>
            </a:r>
            <a:endParaRPr b="1" sz="4200">
              <a:solidFill>
                <a:srgbClr val="FFFFFF"/>
              </a:solidFill>
            </a:endParaRPr>
          </a:p>
        </xdr:txBody>
      </xdr:sp>
      <xdr:sp>
        <xdr:nvSpPr>
          <xdr:cNvPr id="228" name="Shape 228"/>
          <xdr:cNvSpPr/>
        </xdr:nvSpPr>
        <xdr:spPr>
          <a:xfrm>
            <a:off x="401650" y="952200"/>
            <a:ext cx="648000" cy="648000"/>
          </a:xfrm>
          <a:prstGeom prst="roundRect">
            <a:avLst>
              <a:gd fmla="val 16667" name="adj"/>
            </a:avLst>
          </a:prstGeom>
          <a:solidFill>
            <a:srgbClr val="134F5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4200">
                <a:solidFill>
                  <a:srgbClr val="FFFFFF"/>
                </a:solidFill>
              </a:rPr>
              <a:t>2</a:t>
            </a:r>
            <a:endParaRPr sz="1400"/>
          </a:p>
        </xdr:txBody>
      </xdr:sp>
      <xdr:sp>
        <xdr:nvSpPr>
          <xdr:cNvPr id="229" name="Shape 229"/>
          <xdr:cNvSpPr/>
        </xdr:nvSpPr>
        <xdr:spPr>
          <a:xfrm>
            <a:off x="401650" y="1742850"/>
            <a:ext cx="648000" cy="648000"/>
          </a:xfrm>
          <a:prstGeom prst="roundRect">
            <a:avLst>
              <a:gd fmla="val 16667" name="adj"/>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4200">
                <a:solidFill>
                  <a:srgbClr val="FFFFFF"/>
                </a:solidFill>
              </a:rPr>
              <a:t>3</a:t>
            </a:r>
            <a:endParaRPr sz="1400"/>
          </a:p>
        </xdr:txBody>
      </xdr:sp>
      <xdr:sp>
        <xdr:nvSpPr>
          <xdr:cNvPr id="230" name="Shape 230"/>
          <xdr:cNvSpPr/>
        </xdr:nvSpPr>
        <xdr:spPr>
          <a:xfrm>
            <a:off x="401650" y="2533500"/>
            <a:ext cx="648000" cy="648000"/>
          </a:xfrm>
          <a:prstGeom prst="roundRect">
            <a:avLst>
              <a:gd fmla="val 16667" name="adj"/>
            </a:avLst>
          </a:prstGeom>
          <a:solidFill>
            <a:srgbClr val="BF9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4200">
                <a:solidFill>
                  <a:srgbClr val="FFFFFF"/>
                </a:solidFill>
              </a:rPr>
              <a:t>4</a:t>
            </a:r>
            <a:endParaRPr sz="1400"/>
          </a:p>
        </xdr:txBody>
      </xdr:sp>
      <xdr:sp>
        <xdr:nvSpPr>
          <xdr:cNvPr id="231" name="Shape 231"/>
          <xdr:cNvSpPr/>
        </xdr:nvSpPr>
        <xdr:spPr>
          <a:xfrm>
            <a:off x="401650" y="3324150"/>
            <a:ext cx="648000" cy="648000"/>
          </a:xfrm>
          <a:prstGeom prst="roundRect">
            <a:avLst>
              <a:gd fmla="val 16667" name="adj"/>
            </a:avLst>
          </a:prstGeom>
          <a:solidFill>
            <a:srgbClr val="B45F0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4200">
                <a:solidFill>
                  <a:srgbClr val="FFFFFF"/>
                </a:solidFill>
              </a:rPr>
              <a:t>5</a:t>
            </a:r>
            <a:endParaRPr sz="1400"/>
          </a:p>
        </xdr:txBody>
      </xdr:sp>
      <xdr:sp>
        <xdr:nvSpPr>
          <xdr:cNvPr id="232" name="Shape 232"/>
          <xdr:cNvSpPr/>
        </xdr:nvSpPr>
        <xdr:spPr>
          <a:xfrm>
            <a:off x="401650" y="4114800"/>
            <a:ext cx="648000" cy="648000"/>
          </a:xfrm>
          <a:prstGeom prst="roundRect">
            <a:avLst>
              <a:gd fmla="val 16667" name="adj"/>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4200">
                <a:solidFill>
                  <a:srgbClr val="FFFFFF"/>
                </a:solidFill>
              </a:rPr>
              <a:t>6</a:t>
            </a:r>
            <a:endParaRPr sz="1400"/>
          </a:p>
        </xdr:txBody>
      </xdr:sp>
      <xdr:sp>
        <xdr:nvSpPr>
          <xdr:cNvPr id="233" name="Shape 233"/>
          <xdr:cNvSpPr/>
        </xdr:nvSpPr>
        <xdr:spPr>
          <a:xfrm>
            <a:off x="401650" y="4905450"/>
            <a:ext cx="648000" cy="648000"/>
          </a:xfrm>
          <a:prstGeom prst="roundRect">
            <a:avLst>
              <a:gd fmla="val 16667" name="adj"/>
            </a:avLst>
          </a:prstGeom>
          <a:solidFill>
            <a:srgbClr val="85200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4200">
                <a:solidFill>
                  <a:srgbClr val="FFFFFF"/>
                </a:solidFill>
              </a:rPr>
              <a:t>7</a:t>
            </a:r>
            <a:endParaRPr sz="1400"/>
          </a:p>
        </xdr:txBody>
      </xdr:sp>
      <xdr:sp>
        <xdr:nvSpPr>
          <xdr:cNvPr id="234" name="Shape 234"/>
          <xdr:cNvSpPr txBox="1"/>
        </xdr:nvSpPr>
        <xdr:spPr>
          <a:xfrm>
            <a:off x="1276500" y="177750"/>
            <a:ext cx="50670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A core customer who shows great interest in working with us but requires a more thorough consultation. </a:t>
            </a:r>
            <a:endParaRPr sz="1400"/>
          </a:p>
        </xdr:txBody>
      </xdr:sp>
      <xdr:sp>
        <xdr:nvSpPr>
          <xdr:cNvPr id="235" name="Shape 235"/>
          <xdr:cNvSpPr txBox="1"/>
        </xdr:nvSpPr>
        <xdr:spPr>
          <a:xfrm>
            <a:off x="1276500" y="968400"/>
            <a:ext cx="50670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A core customer who is committed but not ready to start. Requires or has asked for constant follow-ups. </a:t>
            </a:r>
            <a:endParaRPr sz="1400"/>
          </a:p>
        </xdr:txBody>
      </xdr:sp>
      <xdr:sp>
        <xdr:nvSpPr>
          <xdr:cNvPr id="236" name="Shape 236"/>
          <xdr:cNvSpPr txBox="1"/>
        </xdr:nvSpPr>
        <xdr:spPr>
          <a:xfrm>
            <a:off x="1276500" y="1651200"/>
            <a:ext cx="5989200" cy="831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A core customer who is eager to publish, may have asked for a quote but is taking the time to decide and check other options. Only a matter of time before he comes back and finalizes the deal with you. </a:t>
            </a:r>
            <a:endParaRPr sz="1400"/>
          </a:p>
        </xdr:txBody>
      </xdr:sp>
      <xdr:sp>
        <xdr:nvSpPr>
          <xdr:cNvPr id="237" name="Shape 237"/>
          <xdr:cNvSpPr txBox="1"/>
        </xdr:nvSpPr>
        <xdr:spPr>
          <a:xfrm>
            <a:off x="1276500" y="2488050"/>
            <a:ext cx="5989200" cy="7389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200"/>
              <a:t>A core customer who is ready to start within the month and is just wanting to fine-tune the offer you gave. These are perhaps those whom you’ve been emailing back and forth with questions and answers or those who are asking for better deals.</a:t>
            </a:r>
            <a:endParaRPr sz="1200"/>
          </a:p>
        </xdr:txBody>
      </xdr:sp>
      <xdr:sp>
        <xdr:nvSpPr>
          <xdr:cNvPr id="238" name="Shape 238"/>
          <xdr:cNvSpPr txBox="1"/>
        </xdr:nvSpPr>
        <xdr:spPr>
          <a:xfrm>
            <a:off x="1276500" y="3356550"/>
            <a:ext cx="59892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A core customer whom you have sent a final proposal and is currently doing a final review. </a:t>
            </a:r>
            <a:endParaRPr sz="1400"/>
          </a:p>
        </xdr:txBody>
      </xdr:sp>
      <xdr:sp>
        <xdr:nvSpPr>
          <xdr:cNvPr id="239" name="Shape 239"/>
          <xdr:cNvSpPr txBox="1"/>
        </xdr:nvSpPr>
        <xdr:spPr>
          <a:xfrm>
            <a:off x="1276500" y="4069350"/>
            <a:ext cx="5989200" cy="7389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200"/>
              <a:t>A core customer who has expressly accepted your offer and has communicated with you his readiness to pay. Either you’ve sent the payment link or you have scheduled the payment on a specific date. The deal is closed. You are just awaiting payment. </a:t>
            </a:r>
            <a:endParaRPr sz="1200"/>
          </a:p>
        </xdr:txBody>
      </xdr:sp>
      <xdr:sp>
        <xdr:nvSpPr>
          <xdr:cNvPr id="240" name="Shape 240"/>
          <xdr:cNvSpPr txBox="1"/>
        </xdr:nvSpPr>
        <xdr:spPr>
          <a:xfrm>
            <a:off x="1276500" y="5044800"/>
            <a:ext cx="5989200" cy="369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200"/>
              <a:t>A core customer whose payment has been processed in Octavo. </a:t>
            </a:r>
            <a:endParaRPr sz="1200"/>
          </a:p>
        </xdr:txBody>
      </xdr:sp>
    </xdr:grpSp>
    <xdr:clientData fLocksWithSheet="0"/>
  </xdr:oneCellAnchor>
  <xdr:oneCellAnchor>
    <xdr:from>
      <xdr:col>4</xdr:col>
      <xdr:colOff>95250</xdr:colOff>
      <xdr:row>22</xdr:row>
      <xdr:rowOff>66675</xdr:rowOff>
    </xdr:from>
    <xdr:ext cx="8010525" cy="5753100"/>
    <xdr:grpSp>
      <xdr:nvGrpSpPr>
        <xdr:cNvPr id="2" name="Shape 2" title="Drawing"/>
        <xdr:cNvGrpSpPr/>
      </xdr:nvGrpSpPr>
      <xdr:grpSpPr>
        <a:xfrm>
          <a:off x="401638" y="125250"/>
          <a:ext cx="8349149" cy="5991425"/>
          <a:chOff x="401638" y="125250"/>
          <a:chExt cx="8349149" cy="5991425"/>
        </a:xfrm>
      </xdr:grpSpPr>
      <xdr:sp>
        <xdr:nvSpPr>
          <xdr:cNvPr id="241" name="Shape 241"/>
          <xdr:cNvSpPr/>
        </xdr:nvSpPr>
        <xdr:spPr>
          <a:xfrm>
            <a:off x="401638" y="3547775"/>
            <a:ext cx="2341200" cy="758700"/>
          </a:xfrm>
          <a:prstGeom prst="roundRect">
            <a:avLst>
              <a:gd fmla="val 16667" name="adj"/>
            </a:avLst>
          </a:prstGeom>
          <a:solidFill>
            <a:srgbClr val="134F5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400">
                <a:solidFill>
                  <a:srgbClr val="FFFFFF"/>
                </a:solidFill>
              </a:rPr>
              <a:t>E-Low Value</a:t>
            </a:r>
            <a:endParaRPr sz="2400"/>
          </a:p>
        </xdr:txBody>
      </xdr:sp>
      <xdr:sp>
        <xdr:nvSpPr>
          <xdr:cNvPr id="242" name="Shape 242"/>
          <xdr:cNvSpPr/>
        </xdr:nvSpPr>
        <xdr:spPr>
          <a:xfrm>
            <a:off x="401650" y="158425"/>
            <a:ext cx="2341200" cy="758700"/>
          </a:xfrm>
          <a:prstGeom prst="roundRect">
            <a:avLst>
              <a:gd fmla="val 16667" name="adj"/>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400">
                <a:solidFill>
                  <a:srgbClr val="FFFFFF"/>
                </a:solidFill>
              </a:rPr>
              <a:t>D-Closed Lost</a:t>
            </a:r>
            <a:endParaRPr sz="2400"/>
          </a:p>
        </xdr:txBody>
      </xdr:sp>
      <xdr:sp>
        <xdr:nvSpPr>
          <xdr:cNvPr id="243" name="Shape 243"/>
          <xdr:cNvSpPr txBox="1"/>
        </xdr:nvSpPr>
        <xdr:spPr>
          <a:xfrm>
            <a:off x="2879475" y="125250"/>
            <a:ext cx="5871300" cy="3697200"/>
          </a:xfrm>
          <a:prstGeom prst="rect">
            <a:avLst/>
          </a:prstGeom>
          <a:noFill/>
          <a:ln>
            <a:noFill/>
          </a:ln>
        </xdr:spPr>
        <xdr:txBody>
          <a:bodyPr anchorCtr="0" anchor="t" bIns="91425" lIns="91425" spcFirstLastPara="1" rIns="91425" wrap="square" tIns="91425">
            <a:spAutoFit/>
          </a:bodyPr>
          <a:lstStyle/>
          <a:p>
            <a:pPr indent="0" lvl="0" marL="0" rtl="0" algn="l">
              <a:lnSpc>
                <a:spcPct val="115000"/>
              </a:lnSpc>
              <a:spcBef>
                <a:spcPts val="0"/>
              </a:spcBef>
              <a:spcAft>
                <a:spcPts val="0"/>
              </a:spcAft>
              <a:buNone/>
            </a:pPr>
            <a:r>
              <a:rPr lang="en-US" sz="1200"/>
              <a:t>These are potential core customers who have </a:t>
            </a:r>
            <a:r>
              <a:rPr lang="en-US" sz="1200"/>
              <a:t>definitely</a:t>
            </a:r>
            <a:r>
              <a:rPr lang="en-US" sz="1200"/>
              <a:t> decided not to work with us, for reasons specific to their circumstances. The reason codes for this category include:</a:t>
            </a:r>
            <a:endParaRPr sz="1200"/>
          </a:p>
          <a:p>
            <a:pPr indent="-292100" lvl="0" marL="857250" rtl="0" algn="l">
              <a:lnSpc>
                <a:spcPct val="115000"/>
              </a:lnSpc>
              <a:spcBef>
                <a:spcPts val="0"/>
              </a:spcBef>
              <a:spcAft>
                <a:spcPts val="0"/>
              </a:spcAft>
              <a:buSzPts val="1000"/>
              <a:buChar char="●"/>
            </a:pPr>
            <a:r>
              <a:rPr i="1" lang="en-US" sz="1000"/>
              <a:t>Lost to competitor</a:t>
            </a:r>
            <a:r>
              <a:rPr lang="en-US" sz="1000"/>
              <a:t>: The customer chose to work with a competitor instead of us.</a:t>
            </a:r>
            <a:endParaRPr sz="1000"/>
          </a:p>
          <a:p>
            <a:pPr indent="-292100" lvl="0" marL="857250" rtl="0" algn="l">
              <a:lnSpc>
                <a:spcPct val="115000"/>
              </a:lnSpc>
              <a:spcBef>
                <a:spcPts val="0"/>
              </a:spcBef>
              <a:spcAft>
                <a:spcPts val="0"/>
              </a:spcAft>
              <a:buSzPts val="1000"/>
              <a:buChar char="●"/>
            </a:pPr>
            <a:r>
              <a:rPr i="1" lang="en-US" sz="1000"/>
              <a:t>Bad Blog/Bad Review</a:t>
            </a:r>
            <a:r>
              <a:rPr lang="en-US" sz="1000"/>
              <a:t>: Negative feedback or poor reviews influenced the customer's decision.</a:t>
            </a:r>
            <a:endParaRPr sz="1000"/>
          </a:p>
          <a:p>
            <a:pPr indent="-292100" lvl="0" marL="857250" rtl="0" algn="l">
              <a:lnSpc>
                <a:spcPct val="115000"/>
              </a:lnSpc>
              <a:spcBef>
                <a:spcPts val="0"/>
              </a:spcBef>
              <a:spcAft>
                <a:spcPts val="0"/>
              </a:spcAft>
              <a:buSzPts val="1000"/>
              <a:buChar char="●"/>
            </a:pPr>
            <a:r>
              <a:rPr i="1" lang="en-US" sz="1000"/>
              <a:t>Signed-up then cancelled</a:t>
            </a:r>
            <a:r>
              <a:rPr lang="en-US" sz="1000"/>
              <a:t>: The customer signed up initially but later cancelled the engagement.</a:t>
            </a:r>
            <a:endParaRPr sz="1000"/>
          </a:p>
          <a:p>
            <a:pPr indent="-292100" lvl="0" marL="857250" rtl="0" algn="l">
              <a:lnSpc>
                <a:spcPct val="115000"/>
              </a:lnSpc>
              <a:spcBef>
                <a:spcPts val="0"/>
              </a:spcBef>
              <a:spcAft>
                <a:spcPts val="0"/>
              </a:spcAft>
              <a:buSzPts val="1000"/>
              <a:buChar char="●"/>
            </a:pPr>
            <a:r>
              <a:rPr i="1" lang="en-US" sz="1000"/>
              <a:t>DNC Request (Do Not Contact)</a:t>
            </a:r>
            <a:r>
              <a:rPr lang="en-US" sz="1000"/>
              <a:t>: The customer requested not to be contacted further.</a:t>
            </a:r>
            <a:endParaRPr sz="1000"/>
          </a:p>
          <a:p>
            <a:pPr indent="-292100" lvl="0" marL="857250" marR="0" rtl="0" algn="l">
              <a:lnSpc>
                <a:spcPct val="115000"/>
              </a:lnSpc>
              <a:spcBef>
                <a:spcPts val="0"/>
              </a:spcBef>
              <a:spcAft>
                <a:spcPts val="0"/>
              </a:spcAft>
              <a:buSzPts val="1000"/>
              <a:buChar char="●"/>
            </a:pPr>
            <a:r>
              <a:rPr i="1" lang="en-US" sz="1000"/>
              <a:t>Budget constraints: The customer cited budget limitations as a reason for not proceeding with our services.</a:t>
            </a:r>
            <a:endParaRPr i="1" sz="1000"/>
          </a:p>
          <a:p>
            <a:pPr indent="-292100" lvl="0" marL="857250" marR="0" rtl="0" algn="l">
              <a:lnSpc>
                <a:spcPct val="115000"/>
              </a:lnSpc>
              <a:spcBef>
                <a:spcPts val="0"/>
              </a:spcBef>
              <a:spcAft>
                <a:spcPts val="0"/>
              </a:spcAft>
              <a:buSzPts val="1000"/>
              <a:buChar char="●"/>
            </a:pPr>
            <a:r>
              <a:rPr i="1" lang="en-US" sz="1000"/>
              <a:t>Changed requirements: The customer's needs or requirements shifted, making our services no longer suitable for their goals.</a:t>
            </a:r>
            <a:endParaRPr i="1" sz="1000"/>
          </a:p>
          <a:p>
            <a:pPr indent="-292100" lvl="0" marL="857250" marR="0" rtl="0" algn="l">
              <a:lnSpc>
                <a:spcPct val="115000"/>
              </a:lnSpc>
              <a:spcBef>
                <a:spcPts val="0"/>
              </a:spcBef>
              <a:spcAft>
                <a:spcPts val="0"/>
              </a:spcAft>
              <a:buSzPts val="1000"/>
              <a:buChar char="●"/>
            </a:pPr>
            <a:r>
              <a:rPr i="1" lang="en-US" sz="1000"/>
              <a:t>Loss of interest: The customer expressed disinterest in pursuing the publishing process.</a:t>
            </a:r>
            <a:endParaRPr i="1" sz="1000"/>
          </a:p>
          <a:p>
            <a:pPr indent="-292100" lvl="0" marL="857250" marR="0" rtl="0" algn="l">
              <a:lnSpc>
                <a:spcPct val="115000"/>
              </a:lnSpc>
              <a:spcBef>
                <a:spcPts val="0"/>
              </a:spcBef>
              <a:spcAft>
                <a:spcPts val="0"/>
              </a:spcAft>
              <a:buSzPts val="1000"/>
              <a:buChar char="●"/>
            </a:pPr>
            <a:r>
              <a:rPr i="1" lang="en-US" sz="1000"/>
              <a:t>Not the right fit: The customer determined that our services did not align with their expectations or vision.</a:t>
            </a:r>
            <a:endParaRPr i="1" sz="1000"/>
          </a:p>
          <a:p>
            <a:pPr indent="0" lvl="0" marL="0" rtl="0" algn="l">
              <a:lnSpc>
                <a:spcPct val="115000"/>
              </a:lnSpc>
              <a:spcBef>
                <a:spcPts val="0"/>
              </a:spcBef>
              <a:spcAft>
                <a:spcPts val="0"/>
              </a:spcAft>
              <a:buNone/>
            </a:pPr>
            <a:r>
              <a:t/>
            </a:r>
            <a:endParaRPr sz="1200"/>
          </a:p>
          <a:p>
            <a:pPr indent="0" lvl="0" marL="0" rtl="0" algn="l">
              <a:spcBef>
                <a:spcPts val="0"/>
              </a:spcBef>
              <a:spcAft>
                <a:spcPts val="0"/>
              </a:spcAft>
              <a:buNone/>
            </a:pPr>
            <a:r>
              <a:t/>
            </a:r>
            <a:endParaRPr sz="1200"/>
          </a:p>
        </xdr:txBody>
      </xdr:sp>
      <xdr:sp>
        <xdr:nvSpPr>
          <xdr:cNvPr id="244" name="Shape 244"/>
          <xdr:cNvSpPr txBox="1"/>
        </xdr:nvSpPr>
        <xdr:spPr>
          <a:xfrm>
            <a:off x="2879487" y="3547775"/>
            <a:ext cx="5871300" cy="2568900"/>
          </a:xfrm>
          <a:prstGeom prst="rect">
            <a:avLst/>
          </a:prstGeom>
          <a:noFill/>
          <a:ln>
            <a:noFill/>
          </a:ln>
        </xdr:spPr>
        <xdr:txBody>
          <a:bodyPr anchorCtr="0" anchor="t" bIns="91425" lIns="91425" spcFirstLastPara="1" rIns="91425" wrap="square" tIns="91425">
            <a:spAutoFit/>
          </a:bodyPr>
          <a:lstStyle/>
          <a:p>
            <a:pPr indent="0" lvl="0" marL="0" rtl="0" algn="l">
              <a:lnSpc>
                <a:spcPct val="115000"/>
              </a:lnSpc>
              <a:spcBef>
                <a:spcPts val="0"/>
              </a:spcBef>
              <a:spcAft>
                <a:spcPts val="0"/>
              </a:spcAft>
              <a:buNone/>
            </a:pPr>
            <a:r>
              <a:rPr lang="en-US" sz="1200"/>
              <a:t>These are potential core customers who, currently, are unable to proceed with the publishing process but may still do so sometime in the future. The reason codes for this category include:</a:t>
            </a:r>
            <a:endParaRPr sz="1200"/>
          </a:p>
          <a:p>
            <a:pPr indent="-292100" lvl="0" marL="857250" marR="0" rtl="0" algn="l">
              <a:lnSpc>
                <a:spcPct val="115000"/>
              </a:lnSpc>
              <a:spcBef>
                <a:spcPts val="0"/>
              </a:spcBef>
              <a:spcAft>
                <a:spcPts val="0"/>
              </a:spcAft>
              <a:buSzPts val="1000"/>
              <a:buChar char="●"/>
            </a:pPr>
            <a:r>
              <a:rPr i="1" lang="en-US" sz="1000"/>
              <a:t>MIA/Unresponsive: The customer has become unresponsive and is not actively engaged in communication.</a:t>
            </a:r>
            <a:endParaRPr i="1" sz="1000"/>
          </a:p>
          <a:p>
            <a:pPr indent="-292100" lvl="0" marL="857250" marR="0" rtl="0" algn="l">
              <a:lnSpc>
                <a:spcPct val="115000"/>
              </a:lnSpc>
              <a:spcBef>
                <a:spcPts val="0"/>
              </a:spcBef>
              <a:spcAft>
                <a:spcPts val="0"/>
              </a:spcAft>
              <a:buSzPts val="1000"/>
              <a:buChar char="●"/>
            </a:pPr>
            <a:r>
              <a:rPr i="1" lang="en-US" sz="1000"/>
              <a:t>Author not available to start in the next 90 days: The author's availability to start the publishing process is beyond the next 90 days.</a:t>
            </a:r>
            <a:endParaRPr i="1" sz="1000"/>
          </a:p>
          <a:p>
            <a:pPr indent="-292100" lvl="0" marL="857250" marR="0" rtl="0" algn="l">
              <a:lnSpc>
                <a:spcPct val="115000"/>
              </a:lnSpc>
              <a:spcBef>
                <a:spcPts val="0"/>
              </a:spcBef>
              <a:spcAft>
                <a:spcPts val="0"/>
              </a:spcAft>
              <a:buSzPts val="1000"/>
              <a:buChar char="●"/>
            </a:pPr>
            <a:r>
              <a:rPr i="1" lang="en-US" sz="1000"/>
              <a:t>Waiting for finances: The customer is waiting to secure necessary finances before moving forward.</a:t>
            </a:r>
            <a:endParaRPr i="1" sz="1000"/>
          </a:p>
          <a:p>
            <a:pPr indent="-292100" lvl="0" marL="857250" marR="0" rtl="0" algn="l">
              <a:lnSpc>
                <a:spcPct val="115000"/>
              </a:lnSpc>
              <a:spcBef>
                <a:spcPts val="0"/>
              </a:spcBef>
              <a:spcAft>
                <a:spcPts val="0"/>
              </a:spcAft>
              <a:buSzPts val="1000"/>
              <a:buChar char="●"/>
            </a:pPr>
            <a:r>
              <a:rPr i="1" lang="en-US" sz="1000"/>
              <a:t>Waiting on the true decision maker: The customer's decision-making process is pending the involvement of another key decision-maker.</a:t>
            </a:r>
            <a:endParaRPr i="1" sz="1000"/>
          </a:p>
          <a:p>
            <a:pPr indent="-292100" lvl="0" marL="857250" marR="0" rtl="0" algn="l">
              <a:lnSpc>
                <a:spcPct val="115000"/>
              </a:lnSpc>
              <a:spcBef>
                <a:spcPts val="0"/>
              </a:spcBef>
              <a:spcAft>
                <a:spcPts val="0"/>
              </a:spcAft>
              <a:buSzPts val="1000"/>
              <a:buChar char="●"/>
            </a:pPr>
            <a:r>
              <a:rPr i="1" lang="en-US" sz="1000"/>
              <a:t>Project put on hold indefinitely: The customer has indefinitely put their publishing project on hold due to other priorities or circumstances.</a:t>
            </a:r>
            <a:endParaRPr i="1" sz="1000"/>
          </a:p>
        </xdr:txBody>
      </xdr:sp>
    </xdr:grp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imon Page" id="{39cc299f-3060-48ca-b4c7-ce806ab55acb}" providerId="google-sheets"/>
  <x18tc:person displayName="Deleted account" id="{10e9b641-4de3-4618-b8cf-c0a102a81f51}" providerId="google-sheets"/>
  <x18tc:person displayName="jh@tellwellpublishing.com" id="{d75fb8a5-3e9f-48ca-8b30-020d91d7bdfd}" userId="jh@tellwellpublishing.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4" dT="2022-08-16T18:36:53.00" personId="{10e9b641-4de3-4618-b8cf-c0a102a81f51}" id="{ff368e28-19d2-4e09-99bc-7602127fd8f6}" done="0">
    <x18tc:text xml:space="preserve">@jh@tellwellpublishing.com Do we have an ROI calculator so author can play around with a few basic assumptions to see what they might be able to net financially over the life of the project based on a few broad assumptions?..... such a calculator would need to clearly state that not all projects have, or are intended to have, a commercial return and there are many valid reasons why people invest in a producing a professional book that may not have a large commercial audience. Also instead of a calculator, we could write a whitepaper to profile 3 or 4 author personas and the economic investment/return they had.
Assigned to jh@tellwellpublishing.com</x18tc:text>
    <x18tc:mentions>
      <x18tc:mention mentionpersonId="{d75fb8a5-3e9f-48ca-8b30-020d91d7bdfd}" mentionId="{92c32884-7ebf-46b8-8d7a-fa02bc0b3e71}" startIndex="0" length="26"/>
    </x18tc:mentions>
  </x18tc:threadedComment>
  <x18tc:threadedComment ref="C9" dT="2022-08-16T18:28:07.00" personId="{10e9b641-4de3-4618-b8cf-c0a102a81f51}" id="{26915aef-71f6-459b-bf2f-06406a0e56d9}" done="1">
    <x18tc:text xml:space="preserve">@jh@tellwellpublishing.com suggest pulling down to its own line so PC can clearly distinguish that "Sample Illustrations" are currently only housed on USA site
Assigned to jh@tellwellpublishing.com</x18tc:text>
    <x18tc:mentions>
      <x18tc:mention mentionpersonId="{d75fb8a5-3e9f-48ca-8b30-020d91d7bdfd}" mentionId="{d6929324-823a-4d13-a6de-9440e703db63}" startIndex="0" length="26"/>
    </x18tc:mentions>
  </x18tc:threadedComment>
  <x18tc:threadedComment ref="C40" dT="2022-08-16T18:31:38.00" personId="{10e9b641-4de3-4618-b8cf-c0a102a81f51}" id="{bed39ccc-e4cb-42c1-88d5-27e532b54009}" done="0">
    <x18tc:text xml:space="preserve">@jh@tellwellpublishing.com should probably use gender neutral references throughout.... so "he" becomes "s/he"
Assigned to jh@tellwellpublishing.com</x18tc:text>
    <x18tc:mentions>
      <x18tc:mention mentionpersonId="{d75fb8a5-3e9f-48ca-8b30-020d91d7bdfd}" mentionId="{3ad8c014-c4a7-46fc-a9af-d98f73bfbf9a}" startIndex="0" length="26"/>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7" dT="2022-08-16T18:58:22.00" personId="{10e9b641-4de3-4618-b8cf-c0a102a81f51}" id="{cee2e1ab-4616-401b-9059-a2f21ec1f210}" done="1">
    <x18tc:text xml:space="preserve">@jh@tellwellpublishing.com confusing as there is no UK phone number listed. Need to list it or to clarify which "direct number" is to be given to UK prospects.
Assigned to jh@tellwellpublishing.com</x18tc:text>
    <x18tc:mentions>
      <x18tc:mention mentionpersonId="{d75fb8a5-3e9f-48ca-8b30-020d91d7bdfd}" mentionId="{d67c0faa-0912-4b76-a759-24a2c2cdb835}" startIndex="0" length="26"/>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2" dT="2022-08-16T18:46:49.00" personId="{10e9b641-4de3-4618-b8cf-c0a102a81f51}" id="{7d79aa93-a7ce-4eba-9017-af26a58ef56b}" done="1">
    <x18tc:text xml:space="preserve">@jh@tellwellpublishing.com do we charge sales tax in US? Aus? UK? If not, probably need to state that specifically so it is clear to PCs, otherwise state the rares to be charged in those jurisdictions.
Assigned to jh@tellwellpublishing.com</x18tc:text>
    <x18tc:mentions>
      <x18tc:mention mentionpersonId="{d75fb8a5-3e9f-48ca-8b30-020d91d7bdfd}" mentionId="{1149dac0-b541-4e05-9d52-2fe0fdb86d41}" startIndex="0" length="26"/>
    </x18tc:mentions>
  </x18tc:threadedComment>
  <x18tc:threadedComment ref="F44" dT="2022-08-16T18:49:34.00" personId="{10e9b641-4de3-4618-b8cf-c0a102a81f51}" id="{cb7a3d67-d798-4e27-ba58-f34a075e38f3}" done="1">
    <x18tc:text xml:space="preserve">@jh@tellwellpublishing.com abbreviation for Newfoundland is "NFLD", not just "NFL"
Assigned to jh@tellwellpublishing.com</x18tc:text>
    <x18tc:mentions>
      <x18tc:mention mentionpersonId="{d75fb8a5-3e9f-48ca-8b30-020d91d7bdfd}" mentionId="{d2c9cb9f-5110-463c-a935-a4970d5337af}" startIndex="0" length="26"/>
    </x18tc:mentions>
  </x18tc:threadedComment>
  <x18tc:threadedComment ref="C44" dT="2022-08-16T18:43:47.00" personId="{10e9b641-4de3-4618-b8cf-c0a102a81f51}" id="{2acfb400-bf86-4a19-a554-a93e22b19f7f}" done="1">
    <x18tc:text xml:space="preserve">@jh@tellwellpublishing.com this cel needs to wrap or text shortened as it is getting clipped and not fully readable with current cell width
Assigned to jh@tellwellpublishing.com</x18tc:text>
    <x18tc:mentions>
      <x18tc:mention mentionpersonId="{d75fb8a5-3e9f-48ca-8b30-020d91d7bdfd}" mentionId="{3b8a428f-18fe-4a8b-bb27-3551c26dcf6c}" startIndex="0" length="26"/>
    </x18tc:mentions>
  </x18tc:threadedComment>
  <x18tc:threadedComment ref="D17" dT="2025-10-10T20:47:12.00" personId="{39cc299f-3060-48ca-b4c7-ce806ab55acb}" id="{79a68aa2-c453-4a5c-9b40-148ded9ed947}" done="0">
    <x18tc:text xml:space="preserve">@jh@tellwellpublishing.com please replace with "ARC Landing Page"
Assigned to jh@tellwellpublishing.com</x18tc:text>
    <x18tc:mentions>
      <x18tc:mention mentionpersonId="{d75fb8a5-3e9f-48ca-8b30-020d91d7bdfd}" mentionId="{877bb6d3-e39f-4f75-ae98-08193d797caf}" startIndex="0" length="26"/>
    </x18tc:mentions>
  </x18tc:threadedComment>
  <x18tc:threadedComment ref="D19" dT="2025-10-10T20:46:33.00" personId="{39cc299f-3060-48ca-b4c7-ce806ab55acb}" id="{d55e1b43-e930-4662-942e-ef33c899d34c}" done="0">
    <x18tc:text xml:space="preserve">@jh@tellwellpublishing.com Please replace with Social Media Graphics (5 items)
Assigned to jh@tellwellpublishing.com</x18tc:text>
    <x18tc:mentions>
      <x18tc:mention mentionpersonId="{d75fb8a5-3e9f-48ca-8b30-020d91d7bdfd}" mentionId="{7253b64f-a499-4fe7-902d-f48924df753a}" startIndex="0" length="26"/>
    </x18tc:mentions>
  </x18tc:threadedComment>
  <x18tc:threadedComment ref="F43" dT="2022-08-16T18:45:07.00" personId="{10e9b641-4de3-4618-b8cf-c0a102a81f51}" id="{75152766-3ef0-4cf5-8ee1-7960f3381f49}" done="1">
    <x18tc:text xml:space="preserve">@jh@tellwellpublishing.com formatting fix needed as this cel is being covered by 'Alberta'... probably need to move heading text up one row
Assigned to jh@tellwellpublishing.com</x18tc:text>
    <x18tc:mentions>
      <x18tc:mention mentionpersonId="{d75fb8a5-3e9f-48ca-8b30-020d91d7bdfd}" mentionId="{303eb07d-ae09-4e0b-9870-c23b0d0416f5}" startIndex="0" length="26"/>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2-08-16T19:25:49.00" personId="{10e9b641-4de3-4618-b8cf-c0a102a81f51}" id="{bfa7cac1-e243-4d4d-a658-d98a79e23388}" done="1">
    <x18tc:text xml:space="preserve">@jh@tellwellpublishing.com this just goes to a pre-populated google search for Tellwell reviews... but is there not such a thing as Google 5-star ratings?
Assigned to jh@tellwellpublishing.com</x18tc:text>
    <x18tc:mentions>
      <x18tc:mention mentionpersonId="{d75fb8a5-3e9f-48ca-8b30-020d91d7bdfd}" mentionId="{2fff3c24-1452-463e-90de-80c329c298e2}" startIndex="0" length="26"/>
    </x18tc:mentions>
  </x18tc:threadedComment>
  <x18tc:threadedComment ref="B22" dT="2022-08-16T19:27:45.00" personId="{10e9b641-4de3-4618-b8cf-c0a102a81f51}" id="{ac5bc401-ac6f-491d-a8bf-5d54e5241ff9}" done="1">
    <x18tc:text xml:space="preserve">@jh@tellwellpublishing.com  there are many Slack channels, perhaps label this as something like "Guide to Slack Channels most used by PCs" or "Essential Slack Channels for PCs"
Assigned to jh@tellwellpublishing.com</x18tc:text>
    <x18tc:mentions>
      <x18tc:mention mentionpersonId="{d75fb8a5-3e9f-48ca-8b30-020d91d7bdfd}" mentionId="{54cb4016-219d-4ccf-b9a0-28415b1b4777}" startIndex="0" length="26"/>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2-08-16T18:54:10.00" personId="{10e9b641-4de3-4618-b8cf-c0a102a81f51}" id="{be137ff4-7547-4591-8a1e-30dc233f41f3}" done="1">
    <x18tc:text xml:space="preserve">@jh@tellwellpublishing.com the "N/A" is initially confusing because of the legend reference to "N/A" which doesn't apply to this column. Instead of abbreviating these cells, I suggest you just fill them with black fill which will clearly communicate that these cells are not applicable to the sales line item
Assigned to jh@tellwellpublishing.com</x18tc:text>
    <x18tc:mentions>
      <x18tc:mention mentionpersonId="{d75fb8a5-3e9f-48ca-8b30-020d91d7bdfd}" mentionId="{f6378c7a-07f6-47a6-993d-e44a0091a9f3}" startIndex="0" length="26"/>
    </x18tc:mentions>
  </x18tc:threadedComment>
  <x18tc:threadedComment ref="A2" dT="2022-08-16T18:56:15.00" personId="{10e9b641-4de3-4618-b8cf-c0a102a81f51}" id="{b52152c3-55a9-4274-8218-789f773c063e}" done="1">
    <x18tc:text xml:space="preserve">@jh@tellwellpublishing.com since you have the space and this document is in part a training doc for new PCs, I suggest in the legend you spell out "OC" and "MC" so it's clear what that means....so for example, just in the legend write "PRIOR TO MARKETING CONSULTATION (MC)" rather than just "PRIOR TO MC"
Assigned to jh@tellwellpublishing.com</x18tc:text>
    <x18tc:mentions>
      <x18tc:mention mentionpersonId="{d75fb8a5-3e9f-48ca-8b30-020d91d7bdfd}" mentionId="{3d36649f-d8ce-4e6d-b196-ee64a5dffb92}" startIndex="0" length="26"/>
    </x18tc:mentions>
    <x18tc:extLst>
      <ext uri="{F7C98A9C-CBB3-438F-8F68-D28B6AF4A901}">
        <xltc2:checksum/>
        <xltc2:hyperlink startIndex="185" length="11" url="http://means....so"/>
      </ext>
    </x18tc:extLs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2-08-16T20:01:52.00" personId="{10e9b641-4de3-4618-b8cf-c0a102a81f51}" id="{04264d65-5ed2-48f6-bd0b-6d16b1262151}" done="1">
    <x18tc:text xml:space="preserve">@jh@tellwellpublishing.com shouldn't we replace all "core customers" with "potential core customer" since we are talking about prospects here. Also in #5, suggest replacing "his" with "his/her" or some other gender neutral re-wording
Assigned to jh@tellwellpublishing.com</x18tc:text>
    <x18tc:mentions>
      <x18tc:mention mentionpersonId="{d75fb8a5-3e9f-48ca-8b30-020d91d7bdfd}" mentionId="{fdae9072-dd40-4032-a0b5-045e7352f112}" startIndex="0" length="26"/>
    </x18tc:mentions>
  </x18tc:threadedComment>
  <x18tc:threadedComment ref="C13" dT="2022-08-16T20:02:39.00" personId="{10e9b641-4de3-4618-b8cf-c0a102a81f51}" id="{b60406c8-c1b5-4d6a-94e4-0c3e570ea032}" done="1">
    <x18tc:text xml:space="preserve">@jh@tellwellpublishing.com correct spelling of "BUSSINESS" to "BUSINESS" with 1 'S'
Assigned to jh@tellwellpublishing.com</x18tc:text>
    <x18tc:mentions>
      <x18tc:mention mentionpersonId="{d75fb8a5-3e9f-48ca-8b30-020d91d7bdfd}" mentionId="{f87bdfe5-52b6-4cca-a491-baa8b391f23c}"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40" Type="http://schemas.openxmlformats.org/officeDocument/2006/relationships/hyperlink" Target="https://tellwell.zendesk.com/hc/en-us/articles/360037762352-What-is-the-role-of-my-project-manager-" TargetMode="External"/><Relationship Id="rId84" Type="http://schemas.openxmlformats.org/officeDocument/2006/relationships/hyperlink" Target="https://www.youtube.com/@tellwellpublishing/videos" TargetMode="External"/><Relationship Id="rId83" Type="http://schemas.openxmlformats.org/officeDocument/2006/relationships/hyperlink" Target="https://myaccount.lightningsource.com/Portal/Tools/ShippingCalculator" TargetMode="External"/><Relationship Id="rId42" Type="http://schemas.openxmlformats.org/officeDocument/2006/relationships/hyperlink" Target="https://drive.google.com/file/d/1TsP9XNpd8Mcnr-UW0Nuy3IOQqO3iQRM6/view?usp=drive_link" TargetMode="External"/><Relationship Id="rId86" Type="http://schemas.openxmlformats.org/officeDocument/2006/relationships/hyperlink" Target="https://www.youtube.com/watch?v=gd9G2BXOhlU" TargetMode="External"/><Relationship Id="rId41" Type="http://schemas.openxmlformats.org/officeDocument/2006/relationships/hyperlink" Target="https://www.ingramspark.com/plan-your-book/print/trim-sizes" TargetMode="External"/><Relationship Id="rId85" Type="http://schemas.openxmlformats.org/officeDocument/2006/relationships/hyperlink" Target="https://www.youtube.com/watch?v=LrLSCLMYg8o" TargetMode="External"/><Relationship Id="rId44" Type="http://schemas.openxmlformats.org/officeDocument/2006/relationships/hyperlink" Target="https://www.ingramspark.com/blog/making-your-book-returnable" TargetMode="External"/><Relationship Id="rId88" Type="http://schemas.openxmlformats.org/officeDocument/2006/relationships/drawing" Target="../drawings/drawing4.xml"/><Relationship Id="rId43" Type="http://schemas.openxmlformats.org/officeDocument/2006/relationships/hyperlink" Target="https://tellwell.zendesk.com/hc/en-us" TargetMode="External"/><Relationship Id="rId87" Type="http://schemas.openxmlformats.org/officeDocument/2006/relationships/hyperlink" Target="https://www.youtube.com/watch?v=-g04QtDjdzA" TargetMode="External"/><Relationship Id="rId46" Type="http://schemas.openxmlformats.org/officeDocument/2006/relationships/hyperlink" Target="https://sites.google.com/tellwellpublishing.com/printingresourcecenter/home?authuser=1" TargetMode="External"/><Relationship Id="rId45" Type="http://schemas.openxmlformats.org/officeDocument/2006/relationships/hyperlink" Target="https://drive.google.com/file/d/1pYpSpy9jFvsp5d9PlyJg8TKNw5BL-dGD/view" TargetMode="External"/><Relationship Id="rId89" Type="http://schemas.openxmlformats.org/officeDocument/2006/relationships/vmlDrawing" Target="../drawings/vmlDrawing3.vml"/><Relationship Id="rId80" Type="http://schemas.openxmlformats.org/officeDocument/2006/relationships/hyperlink" Target="https://tellwell.ca/authorcalc" TargetMode="External"/><Relationship Id="rId82" Type="http://schemas.openxmlformats.org/officeDocument/2006/relationships/hyperlink" Target="https://portal.tellwell.ca/dashboard" TargetMode="External"/><Relationship Id="rId81" Type="http://schemas.openxmlformats.org/officeDocument/2006/relationships/hyperlink" Target="https://docs.google.com/spreadsheets/d/1gcOQjaRxx1cjaDtECzud_emYL0lNBzXwgVkZTf1UXjI/edit" TargetMode="External"/><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tellwellpublishing.com/ca/homepage/" TargetMode="External"/><Relationship Id="rId9" Type="http://schemas.openxmlformats.org/officeDocument/2006/relationships/hyperlink" Target="https://tellwellpublishing.com/ca/privacy-policy/" TargetMode="External"/><Relationship Id="rId48" Type="http://schemas.openxmlformats.org/officeDocument/2006/relationships/hyperlink" Target="https://drive.google.com/drive/folders/1BjnmSHROZBi2JVETS1vXzzYkYd3rU-Ml?usp=sharing" TargetMode="External"/><Relationship Id="rId47" Type="http://schemas.openxmlformats.org/officeDocument/2006/relationships/hyperlink" Target="https://www.ingramspark.com/how-it-works/distribute" TargetMode="External"/><Relationship Id="rId49" Type="http://schemas.openxmlformats.org/officeDocument/2006/relationships/hyperlink" Target="https://docs.google.com/document/d/11nhHPTRebMCJROC1IVLCqRbhPSk0Vr9jqrFS9gFK-Ok/edit" TargetMode="External"/><Relationship Id="rId5" Type="http://schemas.openxmlformats.org/officeDocument/2006/relationships/hyperlink" Target="https://tellwellpublishing.com/ca/price-list/" TargetMode="External"/><Relationship Id="rId6" Type="http://schemas.openxmlformats.org/officeDocument/2006/relationships/hyperlink" Target="https://tellwellpublishing.com/ca/services/illustrations/" TargetMode="External"/><Relationship Id="rId7" Type="http://schemas.openxmlformats.org/officeDocument/2006/relationships/hyperlink" Target="https://tellwellpublishing.com/ca/terms-conditions/" TargetMode="External"/><Relationship Id="rId8" Type="http://schemas.openxmlformats.org/officeDocument/2006/relationships/hyperlink" Target="https://blog.tellwell.ca/" TargetMode="External"/><Relationship Id="rId73" Type="http://schemas.openxmlformats.org/officeDocument/2006/relationships/hyperlink" Target="https://drive.google.com/file/d/1RsHQNR_e55RmEo9OOWPHSrSvpFZiMhTD/view" TargetMode="External"/><Relationship Id="rId72" Type="http://schemas.openxmlformats.org/officeDocument/2006/relationships/hyperlink" Target="https://drive.google.com/drive/folders/1-viMOpQvikWLMPwC-tmd4tgufpHPKFJf?usp=sharing" TargetMode="External"/><Relationship Id="rId31" Type="http://schemas.openxmlformats.org/officeDocument/2006/relationships/hyperlink" Target="https://drive.google.com/drive/folders/1OYC17jJhHNtwiYz6tvwP6ofzWAOaaygf?usp=drive_link" TargetMode="External"/><Relationship Id="rId75" Type="http://schemas.openxmlformats.org/officeDocument/2006/relationships/hyperlink" Target="https://karensibal.com/" TargetMode="External"/><Relationship Id="rId30" Type="http://schemas.openxmlformats.org/officeDocument/2006/relationships/hyperlink" Target="https://docs.google.com/spreadsheets/d/1xaqPXTrmMfbNcEI_5OskT_agJIvcZWZYxun883FYoOQ/edit" TargetMode="External"/><Relationship Id="rId74" Type="http://schemas.openxmlformats.org/officeDocument/2006/relationships/hyperlink" Target="https://drive.google.com/file/d/1IN2J74LHUqQOREczCQMtFiTgDGO16dAb/view" TargetMode="External"/><Relationship Id="rId33" Type="http://schemas.openxmlformats.org/officeDocument/2006/relationships/hyperlink" Target="https://drive.google.com/file/d/1G4bBvKCZU6vAVhXVmoHZBV-wO-XUZs0T/view?usp=sharing" TargetMode="External"/><Relationship Id="rId77" Type="http://schemas.openxmlformats.org/officeDocument/2006/relationships/hyperlink" Target="https://seyoumnigussie.com/" TargetMode="External"/><Relationship Id="rId32" Type="http://schemas.openxmlformats.org/officeDocument/2006/relationships/hyperlink" Target="https://tellwell.zendesk.com/hc/en-us/articles/360050277131-I-signed-up-to-publish-with-Tellwell-What-s-next-" TargetMode="External"/><Relationship Id="rId76" Type="http://schemas.openxmlformats.org/officeDocument/2006/relationships/hyperlink" Target="https://drive.google.com/drive/u/1/folders/1Mxj8kco2PIJ5Fz0bZbf5TKGMXE0aUNyb" TargetMode="External"/><Relationship Id="rId35" Type="http://schemas.openxmlformats.org/officeDocument/2006/relationships/hyperlink" Target="https://tellwell.zendesk.com/hc/en-us/articles/360039842952-What-is-Octavo-" TargetMode="External"/><Relationship Id="rId79" Type="http://schemas.openxmlformats.org/officeDocument/2006/relationships/hyperlink" Target="https://docs.google.com/spreadsheets/d/1kDES7dmj2MnVGk8UUmio-RCTKHGqGphFsVR-n4yukF4/edit" TargetMode="External"/><Relationship Id="rId34" Type="http://schemas.openxmlformats.org/officeDocument/2006/relationships/hyperlink" Target="https://drive.google.com/drive/folders/1_5wEGDDfuG6JRnLPPu6KYej2zhSs89jH?usp=share_link" TargetMode="External"/><Relationship Id="rId78" Type="http://schemas.openxmlformats.org/officeDocument/2006/relationships/hyperlink" Target="https://drive.google.com/file/d/1jr-5nH70doVbBRw4JVKU3gSo4E4689R5/view?usp=sharing" TargetMode="External"/><Relationship Id="rId71" Type="http://schemas.openxmlformats.org/officeDocument/2006/relationships/hyperlink" Target="https://drive.google.com/file/d/1NFAQJkqiENHypUfx7g-oBNj4jLMANF8n/view?usp=sharing" TargetMode="External"/><Relationship Id="rId70" Type="http://schemas.openxmlformats.org/officeDocument/2006/relationships/hyperlink" Target="http://angiecollinsburke.com/" TargetMode="External"/><Relationship Id="rId37" Type="http://schemas.openxmlformats.org/officeDocument/2006/relationships/hyperlink" Target="https://drive.google.com/drive/folders/131tDMJYww27FV3mne0pbYf0kioX949rX?usp=drive_link" TargetMode="External"/><Relationship Id="rId36" Type="http://schemas.openxmlformats.org/officeDocument/2006/relationships/hyperlink" Target="https://docs.google.com/spreadsheets/d/1w1P-sVXMDMsOlHLMIORY88Z5UhEPVQ2eZv6ZqRrGaww/edit" TargetMode="External"/><Relationship Id="rId39" Type="http://schemas.openxmlformats.org/officeDocument/2006/relationships/hyperlink" Target="https://drive.google.com/drive/u/3/folders/1jOKrOhioGxq8Z5GzFNSb64MpdYqdH-nG" TargetMode="External"/><Relationship Id="rId38" Type="http://schemas.openxmlformats.org/officeDocument/2006/relationships/hyperlink" Target="https://tellwell.zendesk.com/hc/en-us/articles/360046416211-Tellwell-Illustrations-Guide" TargetMode="External"/><Relationship Id="rId62" Type="http://schemas.openxmlformats.org/officeDocument/2006/relationships/hyperlink" Target="https://kdp.amazon.com/en_US/help/topic/G200672390" TargetMode="External"/><Relationship Id="rId61" Type="http://schemas.openxmlformats.org/officeDocument/2006/relationships/hyperlink" Target="https://docs.google.com/document/d/120BpUD4i9ANqjCo1EdZmMO5A-prOUJmFVPgMRIbxiXA/edit?tab=t.0" TargetMode="External"/><Relationship Id="rId20" Type="http://schemas.openxmlformats.org/officeDocument/2006/relationships/hyperlink" Target="https://blog.tellwell.ca/" TargetMode="External"/><Relationship Id="rId64" Type="http://schemas.openxmlformats.org/officeDocument/2006/relationships/hyperlink" Target="https://drive.google.com/drive/folders/1yjqs_T-10N0hN1NWq_bIz6n2dOj0Axcx?usp=sharing" TargetMode="External"/><Relationship Id="rId63" Type="http://schemas.openxmlformats.org/officeDocument/2006/relationships/hyperlink" Target="https://drive.google.com/drive/u/1/folders/1Mxj8kco2PIJ5Fz0bZbf5TKGMXE0aUNyb" TargetMode="External"/><Relationship Id="rId22" Type="http://schemas.openxmlformats.org/officeDocument/2006/relationships/hyperlink" Target="https://tellwellpublishing.com/uk/homepage/" TargetMode="External"/><Relationship Id="rId66" Type="http://schemas.openxmlformats.org/officeDocument/2006/relationships/hyperlink" Target="https://drive.google.com/drive/folders/1uFvbuv5MOng4TSttp-oi05Qdn3ugySDp?usp=sharing" TargetMode="External"/><Relationship Id="rId21" Type="http://schemas.openxmlformats.org/officeDocument/2006/relationships/hyperlink" Target="https://tellwellpublishing.com/au/privacy-policy/" TargetMode="External"/><Relationship Id="rId65" Type="http://schemas.openxmlformats.org/officeDocument/2006/relationships/hyperlink" Target="https://drive.google.com/drive/u/1/folders/1Mxj8kco2PIJ5Fz0bZbf5TKGMXE0aUNyb" TargetMode="External"/><Relationship Id="rId24" Type="http://schemas.openxmlformats.org/officeDocument/2006/relationships/hyperlink" Target="https://tellwellpublishing.com/uk/services/illustrations/" TargetMode="External"/><Relationship Id="rId68" Type="http://schemas.openxmlformats.org/officeDocument/2006/relationships/hyperlink" Target="https://tellwell.zendesk.com/hc/en-us/articles/360046416211-Tellwell-Illustrations-Guide" TargetMode="External"/><Relationship Id="rId23" Type="http://schemas.openxmlformats.org/officeDocument/2006/relationships/hyperlink" Target="https://tellwellpublishing.com/uk/price-list/" TargetMode="External"/><Relationship Id="rId67" Type="http://schemas.openxmlformats.org/officeDocument/2006/relationships/hyperlink" Target="https://soniadischer.com/" TargetMode="External"/><Relationship Id="rId60" Type="http://schemas.openxmlformats.org/officeDocument/2006/relationships/hyperlink" Target="https://www.ingramspark.com/hubfs/downloads/user-guide.pdf" TargetMode="External"/><Relationship Id="rId26" Type="http://schemas.openxmlformats.org/officeDocument/2006/relationships/hyperlink" Target="https://blog.tellwell.ca/" TargetMode="External"/><Relationship Id="rId25" Type="http://schemas.openxmlformats.org/officeDocument/2006/relationships/hyperlink" Target="https://tellwellpublishing.com/uk/terms-conditions/" TargetMode="External"/><Relationship Id="rId69" Type="http://schemas.openxmlformats.org/officeDocument/2006/relationships/hyperlink" Target="https://drive.google.com/file/d/1BS4VvvC6VuuiEqKco-LFZOZ64uSxd0KN/view?usp=sharing" TargetMode="External"/><Relationship Id="rId28" Type="http://schemas.openxmlformats.org/officeDocument/2006/relationships/hyperlink" Target="https://drive.google.com/drive/folders/1DsgsIQTNgPwEELiprJOsacdVHL2Xbe3-?usp=sharing" TargetMode="External"/><Relationship Id="rId27" Type="http://schemas.openxmlformats.org/officeDocument/2006/relationships/hyperlink" Target="https://tellwellpublishing.com/uk/privacy-policy/" TargetMode="External"/><Relationship Id="rId29" Type="http://schemas.openxmlformats.org/officeDocument/2006/relationships/hyperlink" Target="https://tellwell.zendesk.com/hc/en-us/articles/360037698432-How-long-does-it-take-to-publish-a-book-" TargetMode="External"/><Relationship Id="rId51" Type="http://schemas.openxmlformats.org/officeDocument/2006/relationships/hyperlink" Target="https://drive.google.com/drive/folders/1GUlyHAPwce8iXeWZmXB8uM-2qzi1T-l9?usp=drive_link" TargetMode="External"/><Relationship Id="rId50" Type="http://schemas.openxmlformats.org/officeDocument/2006/relationships/hyperlink" Target="https://sites.google.com/tellwellpublishing.com/printingresourcecenter/custom-printing?authuser=1" TargetMode="External"/><Relationship Id="rId53" Type="http://schemas.openxmlformats.org/officeDocument/2006/relationships/hyperlink" Target="https://drive.google.com/file/d/1UHkmxdZ-_bu8zEE3ts5PSeO82bWbTpdj/view?usp=sharing" TargetMode="External"/><Relationship Id="rId52" Type="http://schemas.openxmlformats.org/officeDocument/2006/relationships/hyperlink" Target="https://docs.google.com/document/d/1k-TvXl0fyPuqBB4Ep8RUVNJw8d4l3Iu4bYU1m4Aofw8/edit" TargetMode="External"/><Relationship Id="rId11" Type="http://schemas.openxmlformats.org/officeDocument/2006/relationships/hyperlink" Target="https://tellwellpublishing.com/us/price-list/" TargetMode="External"/><Relationship Id="rId55" Type="http://schemas.openxmlformats.org/officeDocument/2006/relationships/hyperlink" Target="https://tellwell.zendesk.com/hc/en-us/articles/19180976736411-Tellwell-s-Guide-to-Print-Ready-Files" TargetMode="External"/><Relationship Id="rId10" Type="http://schemas.openxmlformats.org/officeDocument/2006/relationships/hyperlink" Target="https://tellwellpublishing.com/us/homepage/" TargetMode="External"/><Relationship Id="rId54" Type="http://schemas.openxmlformats.org/officeDocument/2006/relationships/hyperlink" Target="https://docs.google.com/document/d/1R9chiOQU2kq78uvfn7b7ezljLLCIiHihHG2vVedgtjY/edit" TargetMode="External"/><Relationship Id="rId13" Type="http://schemas.openxmlformats.org/officeDocument/2006/relationships/hyperlink" Target="https://tellwellpublishing.com/us/terms-conditions/" TargetMode="External"/><Relationship Id="rId57" Type="http://schemas.openxmlformats.org/officeDocument/2006/relationships/hyperlink" Target="https://docs.google.com/presentation/d/1ed78Y91H2bG-ygLEeNJUJaCU8XoUFdUDv8U7qxr5nZM/edit?usp=drive_link" TargetMode="External"/><Relationship Id="rId12" Type="http://schemas.openxmlformats.org/officeDocument/2006/relationships/hyperlink" Target="https://tellwellpublishing.com/us/services/illustrations/" TargetMode="External"/><Relationship Id="rId56" Type="http://schemas.openxmlformats.org/officeDocument/2006/relationships/hyperlink" Target="https://drive.google.com/drive/folders/1zhybcWG1lWNrT6Crj1OMUIwRs3UjxJtD?usp=drive_link" TargetMode="External"/><Relationship Id="rId15" Type="http://schemas.openxmlformats.org/officeDocument/2006/relationships/hyperlink" Target="https://tellwellpublishing.com/us/privacy-policy/" TargetMode="External"/><Relationship Id="rId59" Type="http://schemas.openxmlformats.org/officeDocument/2006/relationships/hyperlink" Target="https://drive.google.com/drive/folders/1WXs_rHV_pKXg7RA7M0DUN7jEJuP_kega?usp=drive_link" TargetMode="External"/><Relationship Id="rId14" Type="http://schemas.openxmlformats.org/officeDocument/2006/relationships/hyperlink" Target="https://blog.tellwell.ca/" TargetMode="External"/><Relationship Id="rId58" Type="http://schemas.openxmlformats.org/officeDocument/2006/relationships/hyperlink" Target="https://drive.google.com/file/d/1vkkN47Rwzdt37vVfCmAuIWY2x4IasuWY/view?usp=drive_link" TargetMode="External"/><Relationship Id="rId17" Type="http://schemas.openxmlformats.org/officeDocument/2006/relationships/hyperlink" Target="https://tellwellpublishing.com/au/price-list/" TargetMode="External"/><Relationship Id="rId16" Type="http://schemas.openxmlformats.org/officeDocument/2006/relationships/hyperlink" Target="https://tellwellpublishing.com/au/homepage/" TargetMode="External"/><Relationship Id="rId19" Type="http://schemas.openxmlformats.org/officeDocument/2006/relationships/hyperlink" Target="https://tellwellpublishing.com/au/terms-conditions/" TargetMode="External"/><Relationship Id="rId18" Type="http://schemas.openxmlformats.org/officeDocument/2006/relationships/hyperlink" Target="https://tellwellpublishing.com/au/services/illustration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document/d/12dHCSA9hIRpFdDASot6JWakb53qO786x8y-ox52RQxU/edit?tab=t.0" TargetMode="External"/><Relationship Id="rId9" Type="http://schemas.openxmlformats.org/officeDocument/2006/relationships/drawing" Target="../drawings/drawing6.xml"/><Relationship Id="rId5" Type="http://schemas.openxmlformats.org/officeDocument/2006/relationships/hyperlink" Target="https://docs.google.com/document/d/1UbX8Il3b5dl6BIEqC3LXUTwMCkDe7C7Eh_kyHA_2Bt0/edit" TargetMode="External"/><Relationship Id="rId6" Type="http://schemas.openxmlformats.org/officeDocument/2006/relationships/hyperlink" Target="https://docs.google.com/document/d/1ndbhp8LQb-eGwsmNbxSP1J9jnvi_-Byj72x33of70no/edit" TargetMode="External"/><Relationship Id="rId7" Type="http://schemas.openxmlformats.org/officeDocument/2006/relationships/hyperlink" Target="https://docs.google.com/document/d/1dWhjJlbk7CsFPJY2_BH7acyA78k1J3h5itZBYNdRedM/edit" TargetMode="External"/><Relationship Id="rId8" Type="http://schemas.openxmlformats.org/officeDocument/2006/relationships/hyperlink" Target="https://docs.google.com/document/d/1I1_2oUicgMMxcp9VRPPsZpMs5i8dWOv8LoJLE67GnFo/edit" TargetMode="External"/><Relationship Id="rId10"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rive.google.com/file/d/1f0hsGkrVdXI8mICTiOiPMKdarqSK2PY7/view" TargetMode="External"/><Relationship Id="rId9" Type="http://schemas.openxmlformats.org/officeDocument/2006/relationships/hyperlink" Target="https://tellwell.zendesk.com/hc/en-us/articles/360043637952" TargetMode="External"/><Relationship Id="rId5" Type="http://schemas.openxmlformats.org/officeDocument/2006/relationships/hyperlink" Target="https://www.paypal.me/Tellwell" TargetMode="External"/><Relationship Id="rId6" Type="http://schemas.openxmlformats.org/officeDocument/2006/relationships/hyperlink" Target="https://docs.google.com/document/d/1zkcJ1WXBALC_VMUy4kgQCIIOr_Muw5XhlnDwMcEurOs/edit" TargetMode="External"/><Relationship Id="rId7" Type="http://schemas.openxmlformats.org/officeDocument/2006/relationships/hyperlink" Target="https://tellwell.slack.com/archives/CB1AR6QHJ" TargetMode="External"/><Relationship Id="rId8" Type="http://schemas.openxmlformats.org/officeDocument/2006/relationships/hyperlink" Target="https://tellwell.zendesk.com/hc/en-us/articles/4722431325339" TargetMode="External"/><Relationship Id="rId11" Type="http://schemas.openxmlformats.org/officeDocument/2006/relationships/vmlDrawing" Target="../drawings/vmlDrawing5.vml"/><Relationship Id="rId10"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tellwellpublishing.com/" TargetMode="External"/><Relationship Id="rId9" Type="http://schemas.openxmlformats.org/officeDocument/2006/relationships/vmlDrawing" Target="../drawings/vmlDrawing6.vml"/><Relationship Id="rId5" Type="http://schemas.openxmlformats.org/officeDocument/2006/relationships/hyperlink" Target="https://www.google.com/search?q=tellwell+talent+google+reviews&amp;oq=tellwell+talent+google+reviews&amp;aqs=chrome..69i57j33i160.4451j0j7&amp;sourceid=chrome&amp;ie=UTF-8" TargetMode="External"/><Relationship Id="rId6" Type="http://schemas.openxmlformats.org/officeDocument/2006/relationships/hyperlink" Target="https://www.bbb.org/ca/bc/victoria/profile/publishers-book/tellwell-talent-inc-0047-90009594" TargetMode="External"/><Relationship Id="rId7" Type="http://schemas.openxmlformats.org/officeDocument/2006/relationships/hyperlink" Target="https://docs.google.com/spreadsheets/d/1Gt1We_ylCy0bhYZQzsDiTNjZhqt4vhlDbzzUGU8wMIc/edit?usp=sharing"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0.xml"/><Relationship Id="rId5"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rive.google.com/file/d/1lgk4HIWD0PHIeXzixDRjlZWZ1vHb1dkJ/view?usp=share_link" TargetMode="External"/><Relationship Id="rId9" Type="http://schemas.openxmlformats.org/officeDocument/2006/relationships/hyperlink" Target="https://drive.google.com/drive/folders/1a5JA7cgMDzVEm6ffd560dCUnOHVTDg8w?usp=drive_link" TargetMode="External"/><Relationship Id="rId5" Type="http://schemas.openxmlformats.org/officeDocument/2006/relationships/hyperlink" Target="https://drive.google.com/file/d/12HWzN3biuRkwZjnlqOCExD6I6jscYVdj/view?usp=share_link" TargetMode="External"/><Relationship Id="rId6" Type="http://schemas.openxmlformats.org/officeDocument/2006/relationships/hyperlink" Target="https://drive.google.com/drive/folders/1zr0-udaE20oX1Z2Fp96IXGql1ok7_axs" TargetMode="External"/><Relationship Id="rId7" Type="http://schemas.openxmlformats.org/officeDocument/2006/relationships/hyperlink" Target="https://drive.google.com/file/d/1vfcLItfsAgxUIkHt1X-XkrwnvxpUrilH/view?usp=drive_link" TargetMode="External"/><Relationship Id="rId8" Type="http://schemas.openxmlformats.org/officeDocument/2006/relationships/hyperlink" Target="https://docs.google.com/document/d/1Zg3CPkuaSXxNiLxtEC8XPKLgPsqamMiNFiPjDC7ATas/edit?tab=t.0" TargetMode="External"/><Relationship Id="rId11" Type="http://schemas.openxmlformats.org/officeDocument/2006/relationships/hyperlink" Target="https://docs.google.com/document/d/1iFRFtcFDxoyRDT_u42Bp3kxMpAKHquTwxHFzE5-McfA/edit?usp=sharing" TargetMode="External"/><Relationship Id="rId10" Type="http://schemas.openxmlformats.org/officeDocument/2006/relationships/hyperlink" Target="https://drive.google.com/file/d/1JSxaQAifrPquI-GMCzLAbKEorv-AnmWI/view?usp=sharing" TargetMode="External"/><Relationship Id="rId13" Type="http://schemas.openxmlformats.org/officeDocument/2006/relationships/drawing" Target="../drawings/drawing12.xml"/><Relationship Id="rId12" Type="http://schemas.openxmlformats.org/officeDocument/2006/relationships/hyperlink" Target="https://docs.google.com/document/d/1SDBLea6jqR-CqhZ3n4zLZautYDSelk_3MBBISm72VjA/edit?tab=t.0" TargetMode="External"/><Relationship Id="rId14"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12.63"/>
  </cols>
  <sheetData>
    <row r="7">
      <c r="C7"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0.75"/>
    <col customWidth="1" min="2" max="2" width="19.38"/>
  </cols>
  <sheetData>
    <row r="1">
      <c r="A1" s="2" t="s">
        <v>0</v>
      </c>
      <c r="B1" s="3" t="s">
        <v>1</v>
      </c>
      <c r="C1" s="4" t="s">
        <v>2</v>
      </c>
      <c r="D1" s="5" t="s">
        <v>3</v>
      </c>
      <c r="E1" s="6" t="s">
        <v>4</v>
      </c>
      <c r="F1" s="7" t="s">
        <v>5</v>
      </c>
      <c r="G1" s="8" t="s">
        <v>6</v>
      </c>
    </row>
    <row r="2">
      <c r="A2" s="9" t="s">
        <v>7</v>
      </c>
      <c r="B2" s="10" t="s">
        <v>8</v>
      </c>
      <c r="C2" s="12">
        <v>1749.0</v>
      </c>
      <c r="D2" s="13">
        <v>1899.0</v>
      </c>
      <c r="E2" s="15">
        <v>1399.0</v>
      </c>
      <c r="F2" s="18" t="s">
        <v>10</v>
      </c>
      <c r="G2" s="20">
        <v>1299.0</v>
      </c>
    </row>
    <row r="3">
      <c r="A3" s="9" t="s">
        <v>11</v>
      </c>
      <c r="B3" s="10" t="s">
        <v>8</v>
      </c>
      <c r="C3" s="12">
        <v>1749.0</v>
      </c>
      <c r="D3" s="13">
        <v>1899.0</v>
      </c>
      <c r="E3" s="15">
        <v>1399.0</v>
      </c>
      <c r="F3" s="18" t="s">
        <v>10</v>
      </c>
      <c r="G3" s="20">
        <v>1299.0</v>
      </c>
    </row>
    <row r="4">
      <c r="A4" s="9" t="s">
        <v>12</v>
      </c>
      <c r="B4" s="10" t="s">
        <v>8</v>
      </c>
      <c r="C4" s="12">
        <v>3199.0</v>
      </c>
      <c r="D4" s="13">
        <v>3399.0</v>
      </c>
      <c r="E4" s="15">
        <v>2599.0</v>
      </c>
      <c r="F4" s="18" t="s">
        <v>13</v>
      </c>
      <c r="G4" s="20">
        <v>2299.0</v>
      </c>
    </row>
    <row r="5">
      <c r="A5" s="9" t="s">
        <v>14</v>
      </c>
      <c r="B5" s="10" t="s">
        <v>8</v>
      </c>
      <c r="C5" s="12">
        <v>3199.0</v>
      </c>
      <c r="D5" s="13">
        <v>3399.0</v>
      </c>
      <c r="E5" s="15">
        <v>2599.0</v>
      </c>
      <c r="F5" s="18" t="s">
        <v>13</v>
      </c>
      <c r="G5" s="20">
        <v>2299.0</v>
      </c>
    </row>
    <row r="6">
      <c r="A6" s="9" t="s">
        <v>16</v>
      </c>
      <c r="B6" s="10" t="s">
        <v>8</v>
      </c>
      <c r="C6" s="12">
        <v>3299.0</v>
      </c>
      <c r="D6" s="13">
        <v>3499.0</v>
      </c>
      <c r="E6" s="15">
        <v>2799.0</v>
      </c>
      <c r="F6" s="18" t="s">
        <v>18</v>
      </c>
      <c r="G6" s="20">
        <v>2499.0</v>
      </c>
    </row>
    <row r="7">
      <c r="A7" s="9" t="s">
        <v>19</v>
      </c>
      <c r="B7" s="10" t="s">
        <v>8</v>
      </c>
      <c r="C7" s="12">
        <v>6199.0</v>
      </c>
      <c r="D7" s="13">
        <v>6499.0</v>
      </c>
      <c r="E7" s="15">
        <v>5099.0</v>
      </c>
      <c r="F7" s="18" t="s">
        <v>20</v>
      </c>
      <c r="G7" s="20">
        <v>4599.0</v>
      </c>
    </row>
    <row r="8">
      <c r="A8" s="9" t="s">
        <v>21</v>
      </c>
      <c r="B8" s="10" t="s">
        <v>8</v>
      </c>
      <c r="C8" s="12">
        <v>6699.0</v>
      </c>
      <c r="D8" s="13">
        <v>6999.0</v>
      </c>
      <c r="E8" s="15">
        <v>5599.0</v>
      </c>
      <c r="F8" s="18" t="s">
        <v>22</v>
      </c>
      <c r="G8" s="20">
        <v>4899.0</v>
      </c>
    </row>
    <row r="9">
      <c r="A9" s="9" t="s">
        <v>24</v>
      </c>
      <c r="B9" s="10" t="s">
        <v>8</v>
      </c>
      <c r="C9" s="12">
        <v>8749.0</v>
      </c>
      <c r="D9" s="13">
        <v>9399.0</v>
      </c>
      <c r="E9" s="15">
        <v>7499.0</v>
      </c>
      <c r="F9" s="18" t="s">
        <v>26</v>
      </c>
      <c r="G9" s="20">
        <v>6599.0</v>
      </c>
    </row>
    <row r="10">
      <c r="A10" s="9" t="s">
        <v>27</v>
      </c>
      <c r="B10" s="10" t="s">
        <v>8</v>
      </c>
      <c r="C10" s="12">
        <v>12299.0</v>
      </c>
      <c r="D10" s="13">
        <v>12999.0</v>
      </c>
      <c r="E10" s="15">
        <v>10999.0</v>
      </c>
      <c r="F10" s="18" t="s">
        <v>28</v>
      </c>
      <c r="G10" s="20">
        <v>9499.0</v>
      </c>
    </row>
    <row r="11">
      <c r="A11" s="9" t="s">
        <v>30</v>
      </c>
      <c r="B11" s="24" t="s">
        <v>31</v>
      </c>
      <c r="C11" s="12">
        <v>25.0</v>
      </c>
      <c r="D11" s="13">
        <v>29.0</v>
      </c>
      <c r="E11" s="15">
        <v>20.0</v>
      </c>
      <c r="F11" s="18" t="s">
        <v>33</v>
      </c>
      <c r="G11" s="20">
        <v>20.0</v>
      </c>
    </row>
    <row r="12">
      <c r="A12" s="9" t="s">
        <v>34</v>
      </c>
      <c r="B12" s="24" t="s">
        <v>31</v>
      </c>
      <c r="C12" s="12">
        <v>50.0</v>
      </c>
      <c r="D12" s="13">
        <v>59.0</v>
      </c>
      <c r="E12" s="15">
        <v>40.0</v>
      </c>
      <c r="F12" s="18" t="s">
        <v>35</v>
      </c>
      <c r="G12" s="20">
        <v>40.0</v>
      </c>
    </row>
    <row r="13">
      <c r="A13" s="9" t="s">
        <v>36</v>
      </c>
      <c r="B13" s="24" t="s">
        <v>37</v>
      </c>
      <c r="C13" s="26">
        <v>0.034</v>
      </c>
      <c r="D13" s="28">
        <v>0.036</v>
      </c>
      <c r="E13" s="30">
        <v>0.03</v>
      </c>
      <c r="F13" s="32" t="s">
        <v>38</v>
      </c>
      <c r="G13" s="33">
        <v>0.025</v>
      </c>
    </row>
    <row r="14">
      <c r="A14" s="9" t="s">
        <v>39</v>
      </c>
      <c r="B14" s="24" t="s">
        <v>37</v>
      </c>
      <c r="C14" s="12">
        <v>1025.0</v>
      </c>
      <c r="D14" s="13">
        <v>1090.0</v>
      </c>
      <c r="E14" s="15">
        <v>890.0</v>
      </c>
      <c r="F14" s="18" t="s">
        <v>40</v>
      </c>
      <c r="G14" s="20">
        <v>790.0</v>
      </c>
    </row>
    <row r="15">
      <c r="A15" s="9" t="s">
        <v>41</v>
      </c>
      <c r="B15" s="24" t="s">
        <v>43</v>
      </c>
      <c r="C15" s="12">
        <v>1.0</v>
      </c>
      <c r="D15" s="13">
        <v>1.0</v>
      </c>
      <c r="E15" s="15">
        <v>1.0</v>
      </c>
      <c r="F15" s="18" t="s">
        <v>44</v>
      </c>
      <c r="G15" s="20">
        <v>1.0</v>
      </c>
    </row>
    <row r="16">
      <c r="A16" s="9" t="s">
        <v>46</v>
      </c>
      <c r="B16" s="24" t="s">
        <v>43</v>
      </c>
      <c r="C16" s="12">
        <v>39.0</v>
      </c>
      <c r="D16" s="13">
        <v>43.0</v>
      </c>
      <c r="E16" s="15">
        <v>32.0</v>
      </c>
      <c r="F16" s="18" t="s">
        <v>47</v>
      </c>
      <c r="G16" s="20">
        <v>28.0</v>
      </c>
    </row>
    <row r="17">
      <c r="A17" s="9" t="s">
        <v>48</v>
      </c>
      <c r="B17" s="24" t="s">
        <v>43</v>
      </c>
      <c r="C17" s="12">
        <v>55.0</v>
      </c>
      <c r="D17" s="13">
        <v>55.0</v>
      </c>
      <c r="E17" s="15">
        <v>45.0</v>
      </c>
      <c r="F17" s="18" t="s">
        <v>49</v>
      </c>
      <c r="G17" s="20">
        <v>40.0</v>
      </c>
    </row>
    <row r="18">
      <c r="A18" s="9" t="s">
        <v>50</v>
      </c>
      <c r="B18" s="24" t="s">
        <v>43</v>
      </c>
      <c r="C18" s="12">
        <v>69.0</v>
      </c>
      <c r="D18" s="13">
        <v>75.0</v>
      </c>
      <c r="E18" s="15">
        <v>60.0</v>
      </c>
      <c r="F18" s="18" t="s">
        <v>51</v>
      </c>
      <c r="G18" s="20">
        <v>45.0</v>
      </c>
    </row>
    <row r="19">
      <c r="A19" s="9" t="s">
        <v>52</v>
      </c>
      <c r="B19" s="24" t="s">
        <v>43</v>
      </c>
      <c r="C19" s="12">
        <v>75.0</v>
      </c>
      <c r="D19" s="13">
        <v>80.0</v>
      </c>
      <c r="E19" s="15">
        <v>65.0</v>
      </c>
      <c r="F19" s="18" t="s">
        <v>53</v>
      </c>
      <c r="G19" s="20">
        <v>50.0</v>
      </c>
    </row>
    <row r="20">
      <c r="A20" s="9" t="s">
        <v>54</v>
      </c>
      <c r="B20" s="24" t="s">
        <v>43</v>
      </c>
      <c r="C20" s="12">
        <v>85.0</v>
      </c>
      <c r="D20" s="13">
        <v>92.0</v>
      </c>
      <c r="E20" s="15">
        <v>62.0</v>
      </c>
      <c r="F20" s="18" t="s">
        <v>55</v>
      </c>
      <c r="G20" s="20">
        <v>55.0</v>
      </c>
    </row>
    <row r="21">
      <c r="A21" s="9" t="s">
        <v>56</v>
      </c>
      <c r="B21" s="24" t="s">
        <v>43</v>
      </c>
      <c r="C21" s="12">
        <v>99.0</v>
      </c>
      <c r="D21" s="13">
        <v>109.0</v>
      </c>
      <c r="E21" s="15">
        <v>89.0</v>
      </c>
      <c r="F21" s="18" t="s">
        <v>57</v>
      </c>
      <c r="G21" s="20">
        <v>79.0</v>
      </c>
    </row>
    <row r="22">
      <c r="A22" s="9" t="s">
        <v>58</v>
      </c>
      <c r="B22" s="24" t="s">
        <v>43</v>
      </c>
      <c r="C22" s="12">
        <v>100.0</v>
      </c>
      <c r="D22" s="13">
        <v>105.0</v>
      </c>
      <c r="E22" s="15">
        <v>90.0</v>
      </c>
      <c r="F22" s="18" t="s">
        <v>59</v>
      </c>
      <c r="G22" s="20">
        <v>80.0</v>
      </c>
    </row>
    <row r="23">
      <c r="A23" s="9" t="s">
        <v>60</v>
      </c>
      <c r="B23" s="24" t="s">
        <v>43</v>
      </c>
      <c r="C23" s="12">
        <v>150.0</v>
      </c>
      <c r="D23" s="13">
        <v>160.0</v>
      </c>
      <c r="E23" s="15">
        <v>140.0</v>
      </c>
      <c r="F23" s="18" t="s">
        <v>62</v>
      </c>
      <c r="G23" s="20">
        <v>120.0</v>
      </c>
    </row>
    <row r="24">
      <c r="A24" s="9" t="s">
        <v>63</v>
      </c>
      <c r="B24" s="24" t="s">
        <v>43</v>
      </c>
      <c r="C24" s="12">
        <v>150.0</v>
      </c>
      <c r="D24" s="13">
        <v>160.0</v>
      </c>
      <c r="E24" s="15">
        <v>140.0</v>
      </c>
      <c r="F24" s="18" t="s">
        <v>62</v>
      </c>
      <c r="G24" s="20">
        <v>120.0</v>
      </c>
    </row>
    <row r="25">
      <c r="A25" s="9" t="s">
        <v>64</v>
      </c>
      <c r="B25" s="24" t="s">
        <v>43</v>
      </c>
      <c r="C25" s="12">
        <v>150.0</v>
      </c>
      <c r="D25" s="13">
        <v>160.0</v>
      </c>
      <c r="E25" s="15">
        <v>140.0</v>
      </c>
      <c r="F25" s="18" t="s">
        <v>62</v>
      </c>
      <c r="G25" s="20">
        <v>120.0</v>
      </c>
    </row>
    <row r="26">
      <c r="A26" s="9" t="s">
        <v>65</v>
      </c>
      <c r="B26" s="24" t="s">
        <v>43</v>
      </c>
      <c r="C26" s="12">
        <v>150.0</v>
      </c>
      <c r="D26" s="13">
        <v>160.0</v>
      </c>
      <c r="E26" s="15">
        <v>140.0</v>
      </c>
      <c r="F26" s="18" t="s">
        <v>62</v>
      </c>
      <c r="G26" s="20">
        <v>120.0</v>
      </c>
    </row>
    <row r="27">
      <c r="A27" s="9" t="s">
        <v>66</v>
      </c>
      <c r="B27" s="24" t="s">
        <v>43</v>
      </c>
      <c r="C27" s="12">
        <v>500.0</v>
      </c>
      <c r="D27" s="13">
        <v>550.0</v>
      </c>
      <c r="E27" s="15">
        <v>450.0</v>
      </c>
      <c r="F27" s="18" t="s">
        <v>67</v>
      </c>
      <c r="G27" s="20">
        <v>400.0</v>
      </c>
    </row>
    <row r="28">
      <c r="A28" s="9" t="s">
        <v>68</v>
      </c>
      <c r="B28" s="24" t="s">
        <v>43</v>
      </c>
      <c r="C28" s="12">
        <v>500.0</v>
      </c>
      <c r="D28" s="13">
        <v>550.0</v>
      </c>
      <c r="E28" s="15">
        <v>450.0</v>
      </c>
      <c r="F28" s="18" t="s">
        <v>67</v>
      </c>
      <c r="G28" s="20">
        <v>400.0</v>
      </c>
    </row>
    <row r="29">
      <c r="A29" s="9" t="s">
        <v>70</v>
      </c>
      <c r="B29" s="24" t="s">
        <v>43</v>
      </c>
      <c r="C29" s="12">
        <v>599.0</v>
      </c>
      <c r="D29" s="13">
        <v>649.0</v>
      </c>
      <c r="E29" s="15">
        <v>499.0</v>
      </c>
      <c r="F29" s="18" t="s">
        <v>71</v>
      </c>
      <c r="G29" s="20">
        <v>449.0</v>
      </c>
    </row>
    <row r="30">
      <c r="A30" s="9" t="s">
        <v>72</v>
      </c>
      <c r="B30" s="24" t="s">
        <v>43</v>
      </c>
      <c r="C30" s="12">
        <v>599.0</v>
      </c>
      <c r="D30" s="13">
        <v>649.0</v>
      </c>
      <c r="E30" s="15">
        <v>499.0</v>
      </c>
      <c r="F30" s="18" t="s">
        <v>71</v>
      </c>
      <c r="G30" s="20">
        <v>449.0</v>
      </c>
    </row>
    <row r="31">
      <c r="A31" s="9" t="s">
        <v>73</v>
      </c>
      <c r="B31" s="24" t="s">
        <v>43</v>
      </c>
      <c r="C31" s="12">
        <v>599.0</v>
      </c>
      <c r="D31" s="13">
        <v>649.0</v>
      </c>
      <c r="E31" s="15">
        <v>499.0</v>
      </c>
      <c r="F31" s="18" t="s">
        <v>71</v>
      </c>
      <c r="G31" s="20">
        <v>449.0</v>
      </c>
    </row>
    <row r="32">
      <c r="A32" s="9" t="s">
        <v>74</v>
      </c>
      <c r="B32" s="24" t="s">
        <v>43</v>
      </c>
      <c r="C32" s="12">
        <v>599.0</v>
      </c>
      <c r="D32" s="13">
        <v>649.0</v>
      </c>
      <c r="E32" s="15">
        <v>499.0</v>
      </c>
      <c r="F32" s="18" t="s">
        <v>71</v>
      </c>
      <c r="G32" s="20">
        <v>449.0</v>
      </c>
    </row>
    <row r="33">
      <c r="A33" s="9" t="s">
        <v>76</v>
      </c>
      <c r="B33" s="24" t="s">
        <v>43</v>
      </c>
      <c r="C33" s="12">
        <v>599.0</v>
      </c>
      <c r="D33" s="13">
        <v>649.0</v>
      </c>
      <c r="E33" s="15">
        <v>499.0</v>
      </c>
      <c r="F33" s="18" t="s">
        <v>71</v>
      </c>
      <c r="G33" s="20">
        <v>449.0</v>
      </c>
    </row>
    <row r="34">
      <c r="A34" s="9" t="s">
        <v>77</v>
      </c>
      <c r="B34" s="24" t="s">
        <v>78</v>
      </c>
      <c r="C34" s="12">
        <v>79.0</v>
      </c>
      <c r="D34" s="13">
        <v>85.0</v>
      </c>
      <c r="E34" s="15">
        <v>70.0</v>
      </c>
      <c r="F34" s="18" t="s">
        <v>80</v>
      </c>
      <c r="G34" s="20">
        <v>60.0</v>
      </c>
    </row>
    <row r="35">
      <c r="A35" s="9" t="s">
        <v>82</v>
      </c>
      <c r="B35" s="51" t="s">
        <v>78</v>
      </c>
      <c r="C35" s="12">
        <v>180.0</v>
      </c>
      <c r="D35" s="13">
        <v>190.0</v>
      </c>
      <c r="E35" s="15">
        <v>160.0</v>
      </c>
      <c r="F35" s="18" t="s">
        <v>84</v>
      </c>
      <c r="G35" s="20">
        <v>150.0</v>
      </c>
    </row>
    <row r="36">
      <c r="A36" s="9" t="s">
        <v>85</v>
      </c>
      <c r="B36" s="24" t="s">
        <v>78</v>
      </c>
      <c r="C36" s="12">
        <v>180.0</v>
      </c>
      <c r="D36" s="13">
        <v>190.0</v>
      </c>
      <c r="E36" s="15">
        <v>160.0</v>
      </c>
      <c r="F36" s="18" t="s">
        <v>84</v>
      </c>
      <c r="G36" s="20">
        <v>150.0</v>
      </c>
    </row>
    <row r="37">
      <c r="A37" s="9" t="s">
        <v>86</v>
      </c>
      <c r="B37" s="24" t="s">
        <v>78</v>
      </c>
      <c r="C37" s="12">
        <v>180.0</v>
      </c>
      <c r="D37" s="13">
        <v>190.0</v>
      </c>
      <c r="E37" s="15">
        <v>160.0</v>
      </c>
      <c r="F37" s="18" t="s">
        <v>84</v>
      </c>
      <c r="G37" s="20">
        <v>150.0</v>
      </c>
    </row>
    <row r="38">
      <c r="A38" s="9" t="s">
        <v>87</v>
      </c>
      <c r="B38" s="24" t="s">
        <v>78</v>
      </c>
      <c r="C38" s="12">
        <v>180.0</v>
      </c>
      <c r="D38" s="13">
        <v>190.0</v>
      </c>
      <c r="E38" s="15">
        <v>160.0</v>
      </c>
      <c r="F38" s="18" t="s">
        <v>84</v>
      </c>
      <c r="G38" s="20">
        <v>150.0</v>
      </c>
    </row>
    <row r="39">
      <c r="A39" s="9" t="s">
        <v>89</v>
      </c>
      <c r="B39" s="24" t="s">
        <v>78</v>
      </c>
      <c r="C39" s="12">
        <v>180.0</v>
      </c>
      <c r="D39" s="13">
        <v>190.0</v>
      </c>
      <c r="E39" s="15">
        <v>160.0</v>
      </c>
      <c r="F39" s="18" t="s">
        <v>84</v>
      </c>
      <c r="G39" s="20">
        <v>150.0</v>
      </c>
    </row>
    <row r="40">
      <c r="A40" s="9" t="s">
        <v>92</v>
      </c>
      <c r="B40" s="51" t="s">
        <v>78</v>
      </c>
      <c r="C40" s="12">
        <v>180.0</v>
      </c>
      <c r="D40" s="13">
        <v>190.0</v>
      </c>
      <c r="E40" s="15">
        <v>160.0</v>
      </c>
      <c r="F40" s="18" t="s">
        <v>84</v>
      </c>
      <c r="G40" s="20">
        <v>150.0</v>
      </c>
    </row>
    <row r="41">
      <c r="A41" s="36" t="s">
        <v>96</v>
      </c>
      <c r="B41" s="51" t="s">
        <v>78</v>
      </c>
      <c r="C41" s="12">
        <v>260.0</v>
      </c>
      <c r="D41" s="13">
        <v>280.0</v>
      </c>
      <c r="E41" s="15">
        <v>225.0</v>
      </c>
      <c r="F41" s="18" t="s">
        <v>98</v>
      </c>
      <c r="G41" s="20">
        <v>200.0</v>
      </c>
    </row>
    <row r="42">
      <c r="A42" s="9" t="s">
        <v>100</v>
      </c>
      <c r="B42" s="24" t="s">
        <v>78</v>
      </c>
      <c r="C42" s="12">
        <v>260.0</v>
      </c>
      <c r="D42" s="13">
        <v>280.0</v>
      </c>
      <c r="E42" s="15">
        <v>225.0</v>
      </c>
      <c r="F42" s="18" t="s">
        <v>98</v>
      </c>
      <c r="G42" s="20">
        <v>200.0</v>
      </c>
    </row>
    <row r="43">
      <c r="A43" s="9" t="s">
        <v>101</v>
      </c>
      <c r="B43" s="24" t="s">
        <v>78</v>
      </c>
      <c r="C43" s="12">
        <v>260.0</v>
      </c>
      <c r="D43" s="13">
        <v>280.0</v>
      </c>
      <c r="E43" s="15">
        <v>225.0</v>
      </c>
      <c r="F43" s="18" t="s">
        <v>98</v>
      </c>
      <c r="G43" s="20">
        <v>200.0</v>
      </c>
    </row>
    <row r="44">
      <c r="A44" s="9" t="s">
        <v>104</v>
      </c>
      <c r="B44" s="24" t="s">
        <v>78</v>
      </c>
      <c r="C44" s="12">
        <v>260.0</v>
      </c>
      <c r="D44" s="13">
        <v>280.0</v>
      </c>
      <c r="E44" s="15">
        <v>225.0</v>
      </c>
      <c r="F44" s="18" t="s">
        <v>98</v>
      </c>
      <c r="G44" s="20">
        <v>200.0</v>
      </c>
    </row>
    <row r="45">
      <c r="A45" s="9" t="s">
        <v>106</v>
      </c>
      <c r="B45" s="24" t="s">
        <v>78</v>
      </c>
      <c r="C45" s="12">
        <v>260.0</v>
      </c>
      <c r="D45" s="13">
        <v>280.0</v>
      </c>
      <c r="E45" s="15">
        <v>225.0</v>
      </c>
      <c r="F45" s="18" t="s">
        <v>98</v>
      </c>
      <c r="G45" s="20">
        <v>200.0</v>
      </c>
    </row>
    <row r="46">
      <c r="A46" s="9" t="s">
        <v>109</v>
      </c>
      <c r="B46" s="24" t="s">
        <v>78</v>
      </c>
      <c r="C46" s="12">
        <v>260.0</v>
      </c>
      <c r="D46" s="13">
        <v>280.0</v>
      </c>
      <c r="E46" s="15">
        <v>225.0</v>
      </c>
      <c r="F46" s="18" t="s">
        <v>98</v>
      </c>
      <c r="G46" s="20">
        <v>200.0</v>
      </c>
    </row>
    <row r="47">
      <c r="A47" s="9" t="s">
        <v>110</v>
      </c>
      <c r="B47" s="24" t="s">
        <v>78</v>
      </c>
      <c r="C47" s="12">
        <v>260.0</v>
      </c>
      <c r="D47" s="13">
        <v>280.0</v>
      </c>
      <c r="E47" s="15">
        <v>225.0</v>
      </c>
      <c r="F47" s="18" t="s">
        <v>98</v>
      </c>
      <c r="G47" s="20">
        <v>200.0</v>
      </c>
    </row>
    <row r="48">
      <c r="A48" s="9" t="s">
        <v>112</v>
      </c>
      <c r="B48" s="24" t="s">
        <v>78</v>
      </c>
      <c r="C48" s="12">
        <v>359.0</v>
      </c>
      <c r="D48" s="13">
        <v>389.0</v>
      </c>
      <c r="E48" s="15">
        <v>349.0</v>
      </c>
      <c r="F48" s="18" t="s">
        <v>114</v>
      </c>
      <c r="G48" s="20">
        <v>325.0</v>
      </c>
    </row>
    <row r="49">
      <c r="A49" s="9" t="s">
        <v>116</v>
      </c>
      <c r="B49" s="24" t="s">
        <v>78</v>
      </c>
      <c r="C49" s="12">
        <v>500.0</v>
      </c>
      <c r="D49" s="13">
        <v>550.0</v>
      </c>
      <c r="E49" s="15">
        <v>450.0</v>
      </c>
      <c r="F49" s="18" t="s">
        <v>67</v>
      </c>
      <c r="G49" s="20">
        <v>400.0</v>
      </c>
    </row>
    <row r="50">
      <c r="A50" s="9" t="s">
        <v>118</v>
      </c>
      <c r="B50" s="24" t="s">
        <v>78</v>
      </c>
      <c r="C50" s="12">
        <v>500.0</v>
      </c>
      <c r="D50" s="13">
        <v>550.0</v>
      </c>
      <c r="E50" s="15">
        <v>450.0</v>
      </c>
      <c r="F50" s="18" t="s">
        <v>67</v>
      </c>
      <c r="G50" s="20">
        <v>400.0</v>
      </c>
    </row>
    <row r="51">
      <c r="A51" s="56" t="s">
        <v>121</v>
      </c>
      <c r="B51" s="24" t="s">
        <v>78</v>
      </c>
      <c r="C51" s="12">
        <v>540.0</v>
      </c>
      <c r="D51" s="13">
        <v>570.0</v>
      </c>
      <c r="E51" s="15">
        <v>480.0</v>
      </c>
      <c r="F51" s="18" t="s">
        <v>125</v>
      </c>
      <c r="G51" s="20">
        <v>450.0</v>
      </c>
    </row>
    <row r="52">
      <c r="A52" s="9" t="s">
        <v>128</v>
      </c>
      <c r="B52" s="24" t="s">
        <v>78</v>
      </c>
      <c r="C52" s="12">
        <v>599.0</v>
      </c>
      <c r="D52" s="13">
        <v>649.0</v>
      </c>
      <c r="E52" s="15">
        <v>499.0</v>
      </c>
      <c r="F52" s="18" t="s">
        <v>71</v>
      </c>
      <c r="G52" s="20">
        <v>449.0</v>
      </c>
    </row>
    <row r="53">
      <c r="A53" s="9" t="s">
        <v>131</v>
      </c>
      <c r="B53" s="24" t="s">
        <v>78</v>
      </c>
      <c r="C53" s="12">
        <v>780.0</v>
      </c>
      <c r="D53" s="13">
        <v>840.0</v>
      </c>
      <c r="E53" s="15">
        <v>675.0</v>
      </c>
      <c r="F53" s="18" t="s">
        <v>132</v>
      </c>
      <c r="G53" s="20">
        <v>600.0</v>
      </c>
    </row>
    <row r="54">
      <c r="A54" s="9" t="s">
        <v>134</v>
      </c>
      <c r="B54" s="24" t="s">
        <v>83</v>
      </c>
      <c r="C54" s="12" t="s">
        <v>135</v>
      </c>
      <c r="D54" s="13" t="s">
        <v>135</v>
      </c>
      <c r="E54" s="15" t="s">
        <v>135</v>
      </c>
      <c r="F54" s="18" t="s">
        <v>135</v>
      </c>
      <c r="G54" s="20" t="s">
        <v>135</v>
      </c>
    </row>
    <row r="55">
      <c r="A55" s="9" t="s">
        <v>136</v>
      </c>
      <c r="B55" s="24" t="s">
        <v>83</v>
      </c>
      <c r="C55" s="26">
        <v>0.008</v>
      </c>
      <c r="D55" s="28">
        <v>0.009</v>
      </c>
      <c r="E55" s="30">
        <v>0.006</v>
      </c>
      <c r="F55" s="32" t="s">
        <v>137</v>
      </c>
      <c r="G55" s="33">
        <v>0.005</v>
      </c>
    </row>
    <row r="56">
      <c r="A56" s="9" t="s">
        <v>138</v>
      </c>
      <c r="B56" s="24" t="s">
        <v>83</v>
      </c>
      <c r="C56" s="26">
        <v>0.016</v>
      </c>
      <c r="D56" s="28">
        <v>0.017</v>
      </c>
      <c r="E56" s="30">
        <v>0.013</v>
      </c>
      <c r="F56" s="32" t="s">
        <v>139</v>
      </c>
      <c r="G56" s="33">
        <v>0.012</v>
      </c>
    </row>
    <row r="57">
      <c r="A57" s="9" t="s">
        <v>140</v>
      </c>
      <c r="B57" s="24" t="s">
        <v>83</v>
      </c>
      <c r="C57" s="26">
        <v>0.016</v>
      </c>
      <c r="D57" s="28">
        <v>0.017</v>
      </c>
      <c r="E57" s="30">
        <v>0.013</v>
      </c>
      <c r="F57" s="32" t="s">
        <v>139</v>
      </c>
      <c r="G57" s="33">
        <v>0.012</v>
      </c>
    </row>
    <row r="58">
      <c r="A58" s="9" t="s">
        <v>142</v>
      </c>
      <c r="B58" s="24" t="s">
        <v>83</v>
      </c>
      <c r="C58" s="26">
        <v>0.021</v>
      </c>
      <c r="D58" s="28">
        <v>0.022</v>
      </c>
      <c r="E58" s="30">
        <v>0.018</v>
      </c>
      <c r="F58" s="32" t="s">
        <v>143</v>
      </c>
      <c r="G58" s="33">
        <v>0.016</v>
      </c>
    </row>
    <row r="59">
      <c r="A59" s="9" t="s">
        <v>144</v>
      </c>
      <c r="B59" s="24" t="s">
        <v>83</v>
      </c>
      <c r="C59" s="26">
        <v>0.022</v>
      </c>
      <c r="D59" s="28">
        <v>0.023</v>
      </c>
      <c r="E59" s="30">
        <v>0.02</v>
      </c>
      <c r="F59" s="32" t="s">
        <v>145</v>
      </c>
      <c r="G59" s="33">
        <v>0.017</v>
      </c>
    </row>
    <row r="60">
      <c r="A60" s="9" t="s">
        <v>146</v>
      </c>
      <c r="B60" s="24" t="s">
        <v>83</v>
      </c>
      <c r="C60" s="26">
        <v>0.022</v>
      </c>
      <c r="D60" s="28">
        <v>0.023</v>
      </c>
      <c r="E60" s="30">
        <v>0.02</v>
      </c>
      <c r="F60" s="32" t="s">
        <v>145</v>
      </c>
      <c r="G60" s="33">
        <v>0.017</v>
      </c>
    </row>
    <row r="61">
      <c r="A61" s="9" t="s">
        <v>147</v>
      </c>
      <c r="B61" s="24" t="s">
        <v>83</v>
      </c>
      <c r="C61" s="26">
        <v>0.043</v>
      </c>
      <c r="D61" s="28">
        <v>0.045</v>
      </c>
      <c r="E61" s="30">
        <v>0.038</v>
      </c>
      <c r="F61" s="32" t="s">
        <v>148</v>
      </c>
      <c r="G61" s="33">
        <v>0.033</v>
      </c>
    </row>
    <row r="62">
      <c r="A62" s="9" t="s">
        <v>149</v>
      </c>
      <c r="B62" s="24" t="s">
        <v>83</v>
      </c>
      <c r="C62" s="26">
        <v>0.043</v>
      </c>
      <c r="D62" s="28">
        <v>0.045</v>
      </c>
      <c r="E62" s="30">
        <v>0.038</v>
      </c>
      <c r="F62" s="32" t="s">
        <v>148</v>
      </c>
      <c r="G62" s="33">
        <v>0.033</v>
      </c>
    </row>
    <row r="63">
      <c r="A63" s="9" t="s">
        <v>151</v>
      </c>
      <c r="B63" s="24" t="s">
        <v>83</v>
      </c>
      <c r="C63" s="12">
        <v>149.0</v>
      </c>
      <c r="D63" s="13">
        <v>159.0</v>
      </c>
      <c r="E63" s="15">
        <v>140.0</v>
      </c>
      <c r="F63" s="18" t="s">
        <v>62</v>
      </c>
      <c r="G63" s="20">
        <v>120.0</v>
      </c>
    </row>
    <row r="64">
      <c r="A64" s="9" t="s">
        <v>153</v>
      </c>
      <c r="B64" s="51" t="s">
        <v>83</v>
      </c>
      <c r="C64" s="12">
        <v>185.0</v>
      </c>
      <c r="D64" s="13">
        <v>195.0</v>
      </c>
      <c r="E64" s="15">
        <v>160.0</v>
      </c>
      <c r="F64" s="18" t="s">
        <v>84</v>
      </c>
      <c r="G64" s="20">
        <v>140.0</v>
      </c>
    </row>
    <row r="65">
      <c r="A65" s="9" t="s">
        <v>156</v>
      </c>
      <c r="B65" s="51" t="s">
        <v>83</v>
      </c>
      <c r="C65" s="12">
        <v>250.0</v>
      </c>
      <c r="D65" s="13">
        <v>270.0</v>
      </c>
      <c r="E65" s="15">
        <v>225.0</v>
      </c>
      <c r="F65" s="18" t="s">
        <v>98</v>
      </c>
      <c r="G65" s="20">
        <v>200.0</v>
      </c>
    </row>
    <row r="66">
      <c r="A66" s="9" t="s">
        <v>158</v>
      </c>
      <c r="B66" s="24" t="s">
        <v>83</v>
      </c>
      <c r="C66" s="12">
        <v>250.0</v>
      </c>
      <c r="D66" s="13">
        <v>270.0</v>
      </c>
      <c r="E66" s="15">
        <v>225.0</v>
      </c>
      <c r="F66" s="18" t="s">
        <v>98</v>
      </c>
      <c r="G66" s="20">
        <v>200.0</v>
      </c>
    </row>
    <row r="67">
      <c r="A67" s="9" t="s">
        <v>160</v>
      </c>
      <c r="B67" s="24" t="s">
        <v>83</v>
      </c>
      <c r="C67" s="12">
        <v>500.0</v>
      </c>
      <c r="D67" s="13">
        <v>540.0</v>
      </c>
      <c r="E67" s="15">
        <v>450.0</v>
      </c>
      <c r="F67" s="18" t="s">
        <v>67</v>
      </c>
      <c r="G67" s="20">
        <v>400.0</v>
      </c>
    </row>
    <row r="68">
      <c r="A68" s="9" t="s">
        <v>163</v>
      </c>
      <c r="B68" s="24" t="s">
        <v>83</v>
      </c>
      <c r="C68" s="12">
        <v>500.0</v>
      </c>
      <c r="D68" s="13">
        <v>540.0</v>
      </c>
      <c r="E68" s="15">
        <v>450.0</v>
      </c>
      <c r="F68" s="18" t="s">
        <v>67</v>
      </c>
      <c r="G68" s="20">
        <v>400.0</v>
      </c>
    </row>
    <row r="69">
      <c r="A69" s="9" t="s">
        <v>164</v>
      </c>
      <c r="B69" s="24" t="s">
        <v>83</v>
      </c>
      <c r="C69" s="12">
        <v>520.0</v>
      </c>
      <c r="D69" s="13">
        <v>560.0</v>
      </c>
      <c r="E69" s="15">
        <v>450.0</v>
      </c>
      <c r="F69" s="18" t="s">
        <v>67</v>
      </c>
      <c r="G69" s="20">
        <v>400.0</v>
      </c>
    </row>
    <row r="70">
      <c r="A70" s="9" t="s">
        <v>167</v>
      </c>
      <c r="B70" s="24" t="s">
        <v>168</v>
      </c>
      <c r="C70" s="12">
        <v>50.0</v>
      </c>
      <c r="D70" s="13">
        <v>55.0</v>
      </c>
      <c r="E70" s="15">
        <v>40.0</v>
      </c>
      <c r="F70" s="18" t="s">
        <v>170</v>
      </c>
      <c r="G70" s="20">
        <v>40.0</v>
      </c>
    </row>
    <row r="71">
      <c r="A71" s="9" t="s">
        <v>172</v>
      </c>
      <c r="B71" s="24" t="s">
        <v>168</v>
      </c>
      <c r="C71" s="12">
        <v>65.0</v>
      </c>
      <c r="D71" s="13">
        <v>70.0</v>
      </c>
      <c r="E71" s="15">
        <v>55.0</v>
      </c>
      <c r="F71" s="18" t="s">
        <v>35</v>
      </c>
      <c r="G71" s="20">
        <v>50.0</v>
      </c>
    </row>
    <row r="72">
      <c r="A72" s="9" t="s">
        <v>176</v>
      </c>
      <c r="B72" s="24" t="s">
        <v>168</v>
      </c>
      <c r="C72" s="12">
        <v>80.0</v>
      </c>
      <c r="D72" s="13">
        <v>85.0</v>
      </c>
      <c r="E72" s="15">
        <v>70.0</v>
      </c>
      <c r="F72" s="18" t="s">
        <v>80</v>
      </c>
      <c r="G72" s="20">
        <v>60.0</v>
      </c>
    </row>
    <row r="73">
      <c r="A73" s="9" t="s">
        <v>180</v>
      </c>
      <c r="B73" s="24" t="s">
        <v>168</v>
      </c>
      <c r="C73" s="12">
        <v>205.0</v>
      </c>
      <c r="D73" s="13">
        <v>220.0</v>
      </c>
      <c r="E73" s="15">
        <v>180.0</v>
      </c>
      <c r="F73" s="18" t="s">
        <v>182</v>
      </c>
      <c r="G73" s="20">
        <v>160.0</v>
      </c>
    </row>
    <row r="74">
      <c r="A74" s="9" t="s">
        <v>184</v>
      </c>
      <c r="B74" s="24" t="s">
        <v>168</v>
      </c>
      <c r="C74" s="12">
        <v>410.0</v>
      </c>
      <c r="D74" s="13">
        <v>440.0</v>
      </c>
      <c r="E74" s="15">
        <v>350.0</v>
      </c>
      <c r="F74" s="18" t="s">
        <v>114</v>
      </c>
      <c r="G74" s="20">
        <v>325.0</v>
      </c>
    </row>
    <row r="75">
      <c r="A75" s="9" t="s">
        <v>187</v>
      </c>
      <c r="B75" s="24" t="s">
        <v>168</v>
      </c>
      <c r="C75" s="12">
        <v>1499.0</v>
      </c>
      <c r="D75" s="13">
        <v>1649.0</v>
      </c>
      <c r="E75" s="15">
        <v>1299.0</v>
      </c>
      <c r="F75" s="18" t="s">
        <v>188</v>
      </c>
      <c r="G75" s="20">
        <v>1199.0</v>
      </c>
    </row>
    <row r="76">
      <c r="A76" s="9" t="s">
        <v>189</v>
      </c>
      <c r="B76" s="24" t="s">
        <v>168</v>
      </c>
      <c r="C76" s="12">
        <v>2849.0</v>
      </c>
      <c r="D76" s="13">
        <v>3099.0</v>
      </c>
      <c r="E76" s="15">
        <v>2399.0</v>
      </c>
      <c r="F76" s="18" t="s">
        <v>13</v>
      </c>
      <c r="G76" s="20">
        <v>2199.0</v>
      </c>
    </row>
    <row r="77">
      <c r="A77" s="9" t="s">
        <v>190</v>
      </c>
      <c r="B77" s="24" t="s">
        <v>91</v>
      </c>
      <c r="C77" s="12">
        <v>1.0</v>
      </c>
      <c r="D77" s="13">
        <v>1.0</v>
      </c>
      <c r="E77" s="15">
        <v>1.0</v>
      </c>
      <c r="F77" s="18" t="s">
        <v>44</v>
      </c>
      <c r="G77" s="20">
        <v>1.0</v>
      </c>
    </row>
    <row r="78">
      <c r="A78" s="9" t="s">
        <v>192</v>
      </c>
      <c r="B78" s="24" t="s">
        <v>91</v>
      </c>
      <c r="C78" s="12">
        <v>55.0</v>
      </c>
      <c r="D78" s="13">
        <v>55.0</v>
      </c>
      <c r="E78" s="15">
        <v>45.0</v>
      </c>
      <c r="F78" s="18" t="s">
        <v>49</v>
      </c>
      <c r="G78" s="20">
        <v>40.0</v>
      </c>
    </row>
    <row r="79">
      <c r="A79" s="9" t="s">
        <v>194</v>
      </c>
      <c r="B79" s="24" t="s">
        <v>91</v>
      </c>
      <c r="C79" s="12">
        <v>105.0</v>
      </c>
      <c r="D79" s="13">
        <v>110.0</v>
      </c>
      <c r="E79" s="15">
        <v>95.0</v>
      </c>
      <c r="F79" s="18" t="s">
        <v>195</v>
      </c>
      <c r="G79" s="20">
        <v>85.0</v>
      </c>
    </row>
    <row r="80">
      <c r="A80" s="9" t="s">
        <v>197</v>
      </c>
      <c r="B80" s="24" t="s">
        <v>91</v>
      </c>
      <c r="C80" s="12">
        <v>99.0</v>
      </c>
      <c r="D80" s="13">
        <v>109.0</v>
      </c>
      <c r="E80" s="15">
        <v>89.0</v>
      </c>
      <c r="F80" s="18" t="s">
        <v>57</v>
      </c>
      <c r="G80" s="20">
        <v>79.0</v>
      </c>
    </row>
    <row r="81">
      <c r="A81" s="9" t="s">
        <v>201</v>
      </c>
      <c r="B81" s="24" t="s">
        <v>91</v>
      </c>
      <c r="C81" s="12">
        <v>99.0</v>
      </c>
      <c r="D81" s="13">
        <v>109.0</v>
      </c>
      <c r="E81" s="15">
        <v>89.0</v>
      </c>
      <c r="F81" s="18" t="s">
        <v>57</v>
      </c>
      <c r="G81" s="20">
        <v>79.0</v>
      </c>
    </row>
    <row r="82">
      <c r="A82" s="9" t="s">
        <v>205</v>
      </c>
      <c r="B82" s="24" t="s">
        <v>91</v>
      </c>
      <c r="C82" s="12">
        <v>99.0</v>
      </c>
      <c r="D82" s="13">
        <v>109.0</v>
      </c>
      <c r="E82" s="15">
        <v>89.0</v>
      </c>
      <c r="F82" s="18" t="s">
        <v>57</v>
      </c>
      <c r="G82" s="20">
        <v>79.0</v>
      </c>
    </row>
    <row r="83">
      <c r="A83" s="9" t="s">
        <v>208</v>
      </c>
      <c r="B83" s="24" t="s">
        <v>91</v>
      </c>
      <c r="C83" s="12">
        <v>179.0</v>
      </c>
      <c r="D83" s="13">
        <v>190.0</v>
      </c>
      <c r="E83" s="15">
        <v>160.0</v>
      </c>
      <c r="F83" s="18" t="s">
        <v>84</v>
      </c>
      <c r="G83" s="20">
        <v>150.0</v>
      </c>
    </row>
    <row r="84">
      <c r="A84" s="9" t="s">
        <v>212</v>
      </c>
      <c r="B84" s="24" t="s">
        <v>91</v>
      </c>
      <c r="C84" s="12">
        <v>239.0</v>
      </c>
      <c r="D84" s="13">
        <v>250.0</v>
      </c>
      <c r="E84" s="15">
        <v>205.0</v>
      </c>
      <c r="F84" s="18" t="s">
        <v>216</v>
      </c>
      <c r="G84" s="20">
        <v>160.0</v>
      </c>
    </row>
    <row r="85">
      <c r="A85" s="9" t="s">
        <v>218</v>
      </c>
      <c r="B85" s="24" t="s">
        <v>91</v>
      </c>
      <c r="C85" s="12">
        <v>260.0</v>
      </c>
      <c r="D85" s="13">
        <v>280.0</v>
      </c>
      <c r="E85" s="15">
        <v>225.0</v>
      </c>
      <c r="F85" s="18" t="s">
        <v>98</v>
      </c>
      <c r="G85" s="20">
        <v>200.0</v>
      </c>
    </row>
    <row r="86">
      <c r="A86" s="9" t="s">
        <v>224</v>
      </c>
      <c r="B86" s="24" t="s">
        <v>91</v>
      </c>
      <c r="C86" s="12">
        <v>260.0</v>
      </c>
      <c r="D86" s="13">
        <v>280.0</v>
      </c>
      <c r="E86" s="15">
        <v>225.0</v>
      </c>
      <c r="F86" s="18" t="s">
        <v>98</v>
      </c>
      <c r="G86" s="20">
        <v>200.0</v>
      </c>
    </row>
    <row r="87">
      <c r="A87" s="9" t="s">
        <v>227</v>
      </c>
      <c r="B87" s="24" t="s">
        <v>91</v>
      </c>
      <c r="C87" s="12">
        <v>260.0</v>
      </c>
      <c r="D87" s="13">
        <v>280.0</v>
      </c>
      <c r="E87" s="15">
        <v>225.0</v>
      </c>
      <c r="F87" s="18" t="s">
        <v>98</v>
      </c>
      <c r="G87" s="20">
        <v>200.0</v>
      </c>
    </row>
    <row r="88">
      <c r="A88" s="9" t="s">
        <v>232</v>
      </c>
      <c r="B88" s="24" t="s">
        <v>91</v>
      </c>
      <c r="C88" s="12">
        <v>260.0</v>
      </c>
      <c r="D88" s="13">
        <v>280.0</v>
      </c>
      <c r="E88" s="15">
        <v>225.0</v>
      </c>
      <c r="F88" s="18" t="s">
        <v>98</v>
      </c>
      <c r="G88" s="20">
        <v>200.0</v>
      </c>
    </row>
    <row r="89">
      <c r="A89" s="9" t="s">
        <v>236</v>
      </c>
      <c r="B89" s="24" t="s">
        <v>91</v>
      </c>
      <c r="C89" s="12">
        <v>260.0</v>
      </c>
      <c r="D89" s="13">
        <v>280.0</v>
      </c>
      <c r="E89" s="15">
        <v>225.0</v>
      </c>
      <c r="F89" s="18" t="s">
        <v>98</v>
      </c>
      <c r="G89" s="20">
        <v>200.0</v>
      </c>
    </row>
    <row r="90">
      <c r="A90" s="9" t="s">
        <v>242</v>
      </c>
      <c r="B90" s="24" t="s">
        <v>91</v>
      </c>
      <c r="C90" s="12">
        <v>275.0</v>
      </c>
      <c r="D90" s="13">
        <v>295.0</v>
      </c>
      <c r="E90" s="15">
        <v>225.0</v>
      </c>
      <c r="F90" s="18" t="s">
        <v>98</v>
      </c>
      <c r="G90" s="20">
        <v>200.0</v>
      </c>
    </row>
    <row r="91">
      <c r="A91" s="9" t="s">
        <v>246</v>
      </c>
      <c r="B91" s="24" t="s">
        <v>91</v>
      </c>
      <c r="C91" s="12">
        <v>275.0</v>
      </c>
      <c r="D91" s="13">
        <v>295.0</v>
      </c>
      <c r="E91" s="15">
        <v>225.0</v>
      </c>
      <c r="F91" s="18" t="s">
        <v>98</v>
      </c>
      <c r="G91" s="20">
        <v>200.0</v>
      </c>
    </row>
    <row r="92">
      <c r="A92" s="9" t="s">
        <v>250</v>
      </c>
      <c r="B92" s="24" t="s">
        <v>91</v>
      </c>
      <c r="C92" s="12">
        <v>275.0</v>
      </c>
      <c r="D92" s="13">
        <v>295.0</v>
      </c>
      <c r="E92" s="15">
        <v>225.0</v>
      </c>
      <c r="F92" s="18" t="s">
        <v>98</v>
      </c>
      <c r="G92" s="20">
        <v>200.0</v>
      </c>
    </row>
    <row r="93">
      <c r="A93" s="9" t="s">
        <v>254</v>
      </c>
      <c r="B93" s="24" t="s">
        <v>91</v>
      </c>
      <c r="C93" s="12">
        <v>275.0</v>
      </c>
      <c r="D93" s="13">
        <v>295.0</v>
      </c>
      <c r="E93" s="15">
        <v>225.0</v>
      </c>
      <c r="F93" s="18" t="s">
        <v>98</v>
      </c>
      <c r="G93" s="20">
        <v>200.0</v>
      </c>
    </row>
    <row r="94">
      <c r="A94" s="9" t="s">
        <v>257</v>
      </c>
      <c r="B94" s="24" t="s">
        <v>91</v>
      </c>
      <c r="C94" s="12" t="s">
        <v>135</v>
      </c>
      <c r="D94" s="13" t="s">
        <v>135</v>
      </c>
      <c r="E94" s="15" t="s">
        <v>135</v>
      </c>
      <c r="F94" s="18" t="s">
        <v>135</v>
      </c>
      <c r="G94" s="20" t="s">
        <v>135</v>
      </c>
    </row>
    <row r="95">
      <c r="A95" s="9" t="s">
        <v>262</v>
      </c>
      <c r="B95" s="24" t="s">
        <v>91</v>
      </c>
      <c r="C95" s="12">
        <v>275.0</v>
      </c>
      <c r="D95" s="13">
        <v>295.0</v>
      </c>
      <c r="E95" s="15">
        <v>225.0</v>
      </c>
      <c r="F95" s="18" t="s">
        <v>98</v>
      </c>
      <c r="G95" s="20">
        <v>200.0</v>
      </c>
    </row>
    <row r="96">
      <c r="A96" s="9" t="s">
        <v>265</v>
      </c>
      <c r="B96" s="24" t="s">
        <v>91</v>
      </c>
      <c r="C96" s="12">
        <v>300.0</v>
      </c>
      <c r="D96" s="13">
        <v>320.0</v>
      </c>
      <c r="E96" s="15">
        <v>280.0</v>
      </c>
      <c r="F96" s="18" t="s">
        <v>269</v>
      </c>
      <c r="G96" s="20">
        <v>240.0</v>
      </c>
    </row>
    <row r="97">
      <c r="A97" s="9" t="s">
        <v>272</v>
      </c>
      <c r="B97" s="24" t="s">
        <v>91</v>
      </c>
      <c r="C97" s="12">
        <v>350.0</v>
      </c>
      <c r="D97" s="13">
        <v>375.0</v>
      </c>
      <c r="E97" s="15">
        <v>300.0</v>
      </c>
      <c r="F97" s="18" t="s">
        <v>273</v>
      </c>
      <c r="G97" s="20">
        <v>275.0</v>
      </c>
    </row>
    <row r="98">
      <c r="A98" s="9" t="s">
        <v>276</v>
      </c>
      <c r="B98" s="24" t="s">
        <v>91</v>
      </c>
      <c r="C98" s="12">
        <v>350.0</v>
      </c>
      <c r="D98" s="13">
        <v>375.0</v>
      </c>
      <c r="E98" s="15">
        <v>300.0</v>
      </c>
      <c r="F98" s="18" t="s">
        <v>273</v>
      </c>
      <c r="G98" s="20">
        <v>275.0</v>
      </c>
    </row>
    <row r="99">
      <c r="A99" s="9" t="s">
        <v>281</v>
      </c>
      <c r="B99" s="24" t="s">
        <v>91</v>
      </c>
      <c r="C99" s="12">
        <v>410.0</v>
      </c>
      <c r="D99" s="13">
        <v>440.0</v>
      </c>
      <c r="E99" s="15">
        <v>350.0</v>
      </c>
      <c r="F99" s="18" t="s">
        <v>114</v>
      </c>
      <c r="G99" s="20">
        <v>325.0</v>
      </c>
    </row>
    <row r="100">
      <c r="A100" s="9" t="s">
        <v>286</v>
      </c>
      <c r="B100" s="24" t="s">
        <v>91</v>
      </c>
      <c r="C100" s="12">
        <v>520.0</v>
      </c>
      <c r="D100" s="13">
        <v>560.0</v>
      </c>
      <c r="E100" s="15">
        <v>450.0</v>
      </c>
      <c r="F100" s="18" t="s">
        <v>67</v>
      </c>
      <c r="G100" s="20">
        <v>400.0</v>
      </c>
    </row>
    <row r="101">
      <c r="A101" s="9" t="s">
        <v>289</v>
      </c>
      <c r="B101" s="24" t="s">
        <v>91</v>
      </c>
      <c r="C101" s="12">
        <v>520.0</v>
      </c>
      <c r="D101" s="13">
        <v>560.0</v>
      </c>
      <c r="E101" s="15">
        <v>450.0</v>
      </c>
      <c r="F101" s="18" t="s">
        <v>67</v>
      </c>
      <c r="G101" s="20">
        <v>400.0</v>
      </c>
    </row>
    <row r="102">
      <c r="A102" s="9" t="s">
        <v>293</v>
      </c>
      <c r="B102" s="24" t="s">
        <v>91</v>
      </c>
      <c r="C102" s="12">
        <v>520.0</v>
      </c>
      <c r="D102" s="13">
        <v>560.0</v>
      </c>
      <c r="E102" s="15">
        <v>450.0</v>
      </c>
      <c r="F102" s="18" t="s">
        <v>67</v>
      </c>
      <c r="G102" s="20">
        <v>400.0</v>
      </c>
    </row>
    <row r="103">
      <c r="A103" s="9" t="s">
        <v>296</v>
      </c>
      <c r="B103" s="24" t="s">
        <v>91</v>
      </c>
      <c r="C103" s="12">
        <v>520.0</v>
      </c>
      <c r="D103" s="13">
        <v>560.0</v>
      </c>
      <c r="E103" s="15">
        <v>450.0</v>
      </c>
      <c r="F103" s="18" t="s">
        <v>67</v>
      </c>
      <c r="G103" s="20">
        <v>400.0</v>
      </c>
    </row>
    <row r="104">
      <c r="A104" s="9" t="s">
        <v>300</v>
      </c>
      <c r="B104" s="24" t="s">
        <v>91</v>
      </c>
      <c r="C104" s="12">
        <v>520.0</v>
      </c>
      <c r="D104" s="13">
        <v>560.0</v>
      </c>
      <c r="E104" s="15">
        <v>450.0</v>
      </c>
      <c r="F104" s="18" t="s">
        <v>67</v>
      </c>
      <c r="G104" s="20">
        <v>400.0</v>
      </c>
    </row>
    <row r="105">
      <c r="A105" s="9" t="s">
        <v>304</v>
      </c>
      <c r="B105" s="24" t="s">
        <v>91</v>
      </c>
      <c r="C105" s="12">
        <v>520.0</v>
      </c>
      <c r="D105" s="13">
        <v>560.0</v>
      </c>
      <c r="E105" s="15">
        <v>450.0</v>
      </c>
      <c r="F105" s="18" t="s">
        <v>67</v>
      </c>
      <c r="G105" s="20">
        <v>400.0</v>
      </c>
    </row>
    <row r="106">
      <c r="A106" s="9" t="s">
        <v>310</v>
      </c>
      <c r="B106" s="24" t="s">
        <v>91</v>
      </c>
      <c r="C106" s="12">
        <v>520.0</v>
      </c>
      <c r="D106" s="13">
        <v>560.0</v>
      </c>
      <c r="E106" s="15">
        <v>450.0</v>
      </c>
      <c r="F106" s="18" t="s">
        <v>67</v>
      </c>
      <c r="G106" s="20">
        <v>400.0</v>
      </c>
    </row>
    <row r="107">
      <c r="A107" s="9" t="s">
        <v>314</v>
      </c>
      <c r="B107" s="24" t="s">
        <v>91</v>
      </c>
      <c r="C107" s="12">
        <v>520.0</v>
      </c>
      <c r="D107" s="13">
        <v>560.0</v>
      </c>
      <c r="E107" s="15">
        <v>450.0</v>
      </c>
      <c r="F107" s="18" t="s">
        <v>67</v>
      </c>
      <c r="G107" s="20">
        <v>400.0</v>
      </c>
    </row>
    <row r="108">
      <c r="A108" s="9" t="s">
        <v>318</v>
      </c>
      <c r="B108" s="24" t="s">
        <v>91</v>
      </c>
      <c r="C108" s="12">
        <v>520.0</v>
      </c>
      <c r="D108" s="13">
        <v>560.0</v>
      </c>
      <c r="E108" s="15">
        <v>450.0</v>
      </c>
      <c r="F108" s="18" t="s">
        <v>67</v>
      </c>
      <c r="G108" s="20">
        <v>400.0</v>
      </c>
    </row>
    <row r="109">
      <c r="A109" s="9" t="s">
        <v>321</v>
      </c>
      <c r="B109" s="24" t="s">
        <v>91</v>
      </c>
      <c r="C109" s="12">
        <v>520.0</v>
      </c>
      <c r="D109" s="13">
        <v>560.0</v>
      </c>
      <c r="E109" s="15">
        <v>450.0</v>
      </c>
      <c r="F109" s="18" t="s">
        <v>67</v>
      </c>
      <c r="G109" s="20">
        <v>400.0</v>
      </c>
    </row>
    <row r="110">
      <c r="A110" s="9" t="s">
        <v>326</v>
      </c>
      <c r="B110" s="24" t="s">
        <v>91</v>
      </c>
      <c r="C110" s="12">
        <v>520.0</v>
      </c>
      <c r="D110" s="13">
        <v>560.0</v>
      </c>
      <c r="E110" s="15">
        <v>450.0</v>
      </c>
      <c r="F110" s="18" t="s">
        <v>67</v>
      </c>
      <c r="G110" s="20">
        <v>400.0</v>
      </c>
    </row>
    <row r="111">
      <c r="A111" s="9" t="s">
        <v>330</v>
      </c>
      <c r="B111" s="24" t="s">
        <v>91</v>
      </c>
      <c r="C111" s="12">
        <v>520.0</v>
      </c>
      <c r="D111" s="13">
        <v>560.0</v>
      </c>
      <c r="E111" s="15">
        <v>450.0</v>
      </c>
      <c r="F111" s="18" t="s">
        <v>67</v>
      </c>
      <c r="G111" s="20">
        <v>400.0</v>
      </c>
    </row>
    <row r="112">
      <c r="A112" s="9" t="s">
        <v>334</v>
      </c>
      <c r="B112" s="24" t="s">
        <v>91</v>
      </c>
      <c r="C112" s="12">
        <v>600.0</v>
      </c>
      <c r="D112" s="13">
        <v>650.0</v>
      </c>
      <c r="E112" s="15">
        <v>499.0</v>
      </c>
      <c r="F112" s="18" t="s">
        <v>71</v>
      </c>
      <c r="G112" s="20">
        <v>449.0</v>
      </c>
    </row>
    <row r="113">
      <c r="A113" s="9" t="s">
        <v>339</v>
      </c>
      <c r="B113" s="24" t="s">
        <v>91</v>
      </c>
      <c r="C113" s="12" t="s">
        <v>135</v>
      </c>
      <c r="D113" s="13" t="s">
        <v>135</v>
      </c>
      <c r="E113" s="15" t="s">
        <v>135</v>
      </c>
      <c r="F113" s="18" t="s">
        <v>135</v>
      </c>
      <c r="G113" s="20" t="s">
        <v>135</v>
      </c>
    </row>
    <row r="114">
      <c r="A114" s="9" t="s">
        <v>340</v>
      </c>
      <c r="B114" s="24" t="s">
        <v>91</v>
      </c>
      <c r="C114" s="12">
        <v>260.0</v>
      </c>
      <c r="D114" s="13">
        <v>280.0</v>
      </c>
      <c r="E114" s="15">
        <v>225.0</v>
      </c>
      <c r="F114" s="18" t="s">
        <v>98</v>
      </c>
      <c r="G114" s="20">
        <v>200.0</v>
      </c>
    </row>
    <row r="115">
      <c r="A115" s="9" t="s">
        <v>341</v>
      </c>
      <c r="B115" s="24" t="s">
        <v>91</v>
      </c>
      <c r="C115" s="12">
        <v>625.0</v>
      </c>
      <c r="D115" s="13">
        <v>675.0</v>
      </c>
      <c r="E115" s="15">
        <v>500.0</v>
      </c>
      <c r="F115" s="18" t="s">
        <v>343</v>
      </c>
      <c r="G115" s="20">
        <v>450.0</v>
      </c>
    </row>
    <row r="116">
      <c r="A116" s="9" t="s">
        <v>345</v>
      </c>
      <c r="B116" s="24" t="s">
        <v>91</v>
      </c>
      <c r="C116" s="12">
        <v>675.0</v>
      </c>
      <c r="D116" s="13">
        <v>725.0</v>
      </c>
      <c r="E116" s="15">
        <v>550.0</v>
      </c>
      <c r="F116" s="18" t="s">
        <v>346</v>
      </c>
      <c r="G116" s="20">
        <v>500.0</v>
      </c>
    </row>
    <row r="117">
      <c r="A117" s="9" t="s">
        <v>347</v>
      </c>
      <c r="B117" s="24" t="s">
        <v>91</v>
      </c>
      <c r="C117" s="12">
        <v>780.0</v>
      </c>
      <c r="D117" s="13">
        <v>840.0</v>
      </c>
      <c r="E117" s="15">
        <v>675.0</v>
      </c>
      <c r="F117" s="18" t="s">
        <v>132</v>
      </c>
      <c r="G117" s="20">
        <v>600.0</v>
      </c>
    </row>
    <row r="118">
      <c r="A118" s="9" t="s">
        <v>351</v>
      </c>
      <c r="B118" s="24" t="s">
        <v>91</v>
      </c>
      <c r="C118" s="12">
        <v>780.0</v>
      </c>
      <c r="D118" s="13">
        <v>840.0</v>
      </c>
      <c r="E118" s="15">
        <v>675.0</v>
      </c>
      <c r="F118" s="18" t="s">
        <v>132</v>
      </c>
      <c r="G118" s="20">
        <v>600.0</v>
      </c>
    </row>
    <row r="119">
      <c r="A119" s="9" t="s">
        <v>355</v>
      </c>
      <c r="B119" s="24" t="s">
        <v>91</v>
      </c>
      <c r="C119" s="12">
        <v>780.0</v>
      </c>
      <c r="D119" s="13">
        <v>840.0</v>
      </c>
      <c r="E119" s="15">
        <v>675.0</v>
      </c>
      <c r="F119" s="18" t="s">
        <v>132</v>
      </c>
      <c r="G119" s="20">
        <v>600.0</v>
      </c>
    </row>
    <row r="120">
      <c r="A120" s="9" t="s">
        <v>358</v>
      </c>
      <c r="B120" s="24" t="s">
        <v>91</v>
      </c>
      <c r="C120" s="12">
        <v>1050.0</v>
      </c>
      <c r="D120" s="13">
        <v>1120.0</v>
      </c>
      <c r="E120" s="15">
        <v>900.0</v>
      </c>
      <c r="F120" s="18" t="s">
        <v>361</v>
      </c>
      <c r="G120" s="20">
        <v>800.0</v>
      </c>
    </row>
    <row r="121">
      <c r="A121" s="9" t="s">
        <v>364</v>
      </c>
      <c r="B121" s="24" t="s">
        <v>91</v>
      </c>
      <c r="C121" s="12">
        <v>1050.0</v>
      </c>
      <c r="D121" s="13">
        <v>1120.0</v>
      </c>
      <c r="E121" s="15">
        <v>900.0</v>
      </c>
      <c r="F121" s="18" t="s">
        <v>361</v>
      </c>
      <c r="G121" s="20">
        <v>800.0</v>
      </c>
    </row>
    <row r="122">
      <c r="A122" s="9" t="s">
        <v>368</v>
      </c>
      <c r="B122" s="24" t="s">
        <v>91</v>
      </c>
      <c r="C122" s="12">
        <v>1050.0</v>
      </c>
      <c r="D122" s="13">
        <v>1120.0</v>
      </c>
      <c r="E122" s="15">
        <v>900.0</v>
      </c>
      <c r="F122" s="18" t="s">
        <v>361</v>
      </c>
      <c r="G122" s="20">
        <v>800.0</v>
      </c>
    </row>
    <row r="123">
      <c r="A123" s="9" t="s">
        <v>372</v>
      </c>
      <c r="B123" s="24" t="s">
        <v>91</v>
      </c>
      <c r="C123" s="12">
        <v>1300.0</v>
      </c>
      <c r="D123" s="13">
        <v>1400.0</v>
      </c>
      <c r="E123" s="15">
        <v>1050.0</v>
      </c>
      <c r="F123" s="18" t="s">
        <v>375</v>
      </c>
      <c r="G123" s="20">
        <v>950.0</v>
      </c>
    </row>
    <row r="124">
      <c r="A124" s="9" t="s">
        <v>377</v>
      </c>
      <c r="B124" s="24" t="s">
        <v>91</v>
      </c>
      <c r="C124" s="12">
        <v>2099.0</v>
      </c>
      <c r="D124" s="13">
        <v>2249.0</v>
      </c>
      <c r="E124" s="15">
        <v>1799.0</v>
      </c>
      <c r="F124" s="18" t="s">
        <v>379</v>
      </c>
      <c r="G124" s="20">
        <v>1599.0</v>
      </c>
    </row>
    <row r="125">
      <c r="A125" s="9" t="s">
        <v>382</v>
      </c>
      <c r="B125" s="24" t="s">
        <v>91</v>
      </c>
      <c r="C125" s="12">
        <v>2349.0</v>
      </c>
      <c r="D125" s="13">
        <v>2549.0</v>
      </c>
      <c r="E125" s="15">
        <v>2025.0</v>
      </c>
      <c r="F125" s="18" t="s">
        <v>384</v>
      </c>
      <c r="G125" s="20">
        <v>1800.0</v>
      </c>
    </row>
    <row r="126">
      <c r="A126" s="9" t="s">
        <v>385</v>
      </c>
      <c r="B126" s="24" t="s">
        <v>91</v>
      </c>
      <c r="C126" s="12">
        <v>2349.0</v>
      </c>
      <c r="D126" s="13">
        <v>2549.0</v>
      </c>
      <c r="E126" s="15">
        <v>2025.0</v>
      </c>
      <c r="F126" s="18" t="s">
        <v>384</v>
      </c>
      <c r="G126" s="20">
        <v>1800.0</v>
      </c>
    </row>
    <row r="127">
      <c r="A127" s="9" t="s">
        <v>389</v>
      </c>
      <c r="B127" s="24" t="s">
        <v>91</v>
      </c>
      <c r="C127" s="12">
        <v>3699.0</v>
      </c>
      <c r="D127" s="13">
        <v>3999.0</v>
      </c>
      <c r="E127" s="15">
        <v>2999.0</v>
      </c>
      <c r="F127" s="18" t="s">
        <v>390</v>
      </c>
      <c r="G127" s="20">
        <v>2699.0</v>
      </c>
    </row>
    <row r="128">
      <c r="A128" s="9" t="s">
        <v>392</v>
      </c>
      <c r="B128" s="24" t="s">
        <v>91</v>
      </c>
      <c r="C128" s="12">
        <v>3699.0</v>
      </c>
      <c r="D128" s="13">
        <v>3999.0</v>
      </c>
      <c r="E128" s="15">
        <v>2999.0</v>
      </c>
      <c r="F128" s="18" t="s">
        <v>390</v>
      </c>
      <c r="G128" s="20">
        <v>2699.0</v>
      </c>
    </row>
    <row r="129">
      <c r="A129" s="9" t="s">
        <v>394</v>
      </c>
      <c r="B129" s="24" t="s">
        <v>396</v>
      </c>
      <c r="C129" s="12">
        <v>1.0</v>
      </c>
      <c r="D129" s="13">
        <v>1.0</v>
      </c>
      <c r="E129" s="15">
        <v>1.0</v>
      </c>
      <c r="F129" s="18" t="s">
        <v>44</v>
      </c>
      <c r="G129" s="20">
        <v>1.0</v>
      </c>
    </row>
    <row r="130">
      <c r="A130" s="9" t="s">
        <v>399</v>
      </c>
      <c r="B130" s="24" t="s">
        <v>396</v>
      </c>
      <c r="C130" s="12">
        <v>1.0</v>
      </c>
      <c r="D130" s="13">
        <v>1.0</v>
      </c>
      <c r="E130" s="15">
        <v>1.0</v>
      </c>
      <c r="F130" s="18" t="s">
        <v>44</v>
      </c>
      <c r="G130" s="20">
        <v>1.0</v>
      </c>
    </row>
    <row r="131">
      <c r="A131" s="9" t="s">
        <v>400</v>
      </c>
      <c r="B131" s="24" t="s">
        <v>396</v>
      </c>
      <c r="C131" s="12">
        <v>20.0</v>
      </c>
      <c r="D131" s="13">
        <v>20.0</v>
      </c>
      <c r="E131" s="15">
        <v>20.0</v>
      </c>
      <c r="F131" s="18" t="s">
        <v>33</v>
      </c>
      <c r="G131" s="20">
        <v>20.0</v>
      </c>
    </row>
    <row r="132">
      <c r="A132" s="9" t="s">
        <v>404</v>
      </c>
      <c r="B132" s="24" t="s">
        <v>396</v>
      </c>
      <c r="C132" s="12">
        <v>40.0</v>
      </c>
      <c r="D132" s="13">
        <v>40.0</v>
      </c>
      <c r="E132" s="15">
        <v>40.0</v>
      </c>
      <c r="F132" s="18" t="s">
        <v>35</v>
      </c>
      <c r="G132" s="20">
        <v>40.0</v>
      </c>
    </row>
    <row r="133">
      <c r="A133" s="9" t="s">
        <v>408</v>
      </c>
      <c r="B133" s="24" t="s">
        <v>396</v>
      </c>
      <c r="C133" s="12">
        <v>80.0</v>
      </c>
      <c r="D133" s="13">
        <v>80.0</v>
      </c>
      <c r="E133" s="15">
        <v>80.0</v>
      </c>
      <c r="F133" s="18" t="s">
        <v>410</v>
      </c>
      <c r="G133" s="20">
        <v>80.0</v>
      </c>
    </row>
    <row r="134">
      <c r="A134" s="9" t="s">
        <v>413</v>
      </c>
      <c r="B134" s="24" t="s">
        <v>186</v>
      </c>
      <c r="C134" s="12" t="s">
        <v>135</v>
      </c>
      <c r="D134" s="13" t="s">
        <v>135</v>
      </c>
      <c r="E134" s="15" t="s">
        <v>135</v>
      </c>
      <c r="F134" s="18" t="s">
        <v>135</v>
      </c>
      <c r="G134" s="20" t="s">
        <v>135</v>
      </c>
    </row>
    <row r="135">
      <c r="A135" s="9" t="s">
        <v>418</v>
      </c>
      <c r="B135" s="24" t="s">
        <v>186</v>
      </c>
      <c r="C135" s="12">
        <v>0.032</v>
      </c>
      <c r="D135" s="13">
        <v>0.034</v>
      </c>
      <c r="E135" s="15">
        <v>0.026</v>
      </c>
      <c r="F135" s="18" t="s">
        <v>420</v>
      </c>
      <c r="G135" s="20">
        <v>0.024</v>
      </c>
    </row>
    <row r="136">
      <c r="A136" s="9" t="s">
        <v>423</v>
      </c>
      <c r="B136" s="24" t="s">
        <v>186</v>
      </c>
      <c r="C136" s="12">
        <v>0.054</v>
      </c>
      <c r="D136" s="13">
        <v>0.057</v>
      </c>
      <c r="E136" s="15">
        <v>0.046</v>
      </c>
      <c r="F136" s="18" t="s">
        <v>426</v>
      </c>
      <c r="G136" s="20">
        <v>0.041</v>
      </c>
    </row>
    <row r="137">
      <c r="A137" s="9" t="s">
        <v>430</v>
      </c>
      <c r="B137" s="24" t="s">
        <v>186</v>
      </c>
      <c r="C137" s="12">
        <v>0.1</v>
      </c>
      <c r="D137" s="13">
        <v>0.11</v>
      </c>
      <c r="E137" s="15">
        <v>0.09</v>
      </c>
      <c r="F137" s="18" t="s">
        <v>432</v>
      </c>
      <c r="G137" s="20">
        <v>0.08</v>
      </c>
    </row>
    <row r="138">
      <c r="A138" s="9" t="s">
        <v>435</v>
      </c>
      <c r="B138" s="24" t="s">
        <v>186</v>
      </c>
      <c r="C138" s="12">
        <v>1.0</v>
      </c>
      <c r="D138" s="13">
        <v>1.0</v>
      </c>
      <c r="E138" s="15">
        <v>1.0</v>
      </c>
      <c r="F138" s="18" t="s">
        <v>44</v>
      </c>
      <c r="G138" s="20">
        <v>1.0</v>
      </c>
    </row>
    <row r="139">
      <c r="A139" s="9" t="s">
        <v>124</v>
      </c>
      <c r="B139" s="24" t="s">
        <v>186</v>
      </c>
      <c r="C139" s="12">
        <v>1.0</v>
      </c>
      <c r="D139" s="13">
        <v>1.0</v>
      </c>
      <c r="E139" s="15">
        <v>1.0</v>
      </c>
      <c r="F139" s="18" t="s">
        <v>44</v>
      </c>
      <c r="G139" s="20">
        <v>1.0</v>
      </c>
    </row>
    <row r="140">
      <c r="A140" s="9" t="s">
        <v>447</v>
      </c>
      <c r="B140" s="24" t="s">
        <v>186</v>
      </c>
      <c r="C140" s="12" t="s">
        <v>135</v>
      </c>
      <c r="D140" s="13" t="s">
        <v>135</v>
      </c>
      <c r="E140" s="15" t="s">
        <v>135</v>
      </c>
      <c r="F140" s="18" t="s">
        <v>135</v>
      </c>
      <c r="G140" s="20" t="s">
        <v>135</v>
      </c>
    </row>
    <row r="141">
      <c r="A141" s="9" t="s">
        <v>450</v>
      </c>
      <c r="B141" s="24" t="s">
        <v>186</v>
      </c>
      <c r="C141" s="12">
        <v>99.0</v>
      </c>
      <c r="D141" s="13">
        <v>109.0</v>
      </c>
      <c r="E141" s="15">
        <v>89.0</v>
      </c>
      <c r="F141" s="18" t="s">
        <v>57</v>
      </c>
      <c r="G141" s="20">
        <v>79.0</v>
      </c>
    </row>
    <row r="142">
      <c r="A142" s="9" t="s">
        <v>453</v>
      </c>
      <c r="B142" s="24" t="s">
        <v>186</v>
      </c>
      <c r="C142" s="12">
        <v>99.0</v>
      </c>
      <c r="D142" s="13">
        <v>109.0</v>
      </c>
      <c r="E142" s="15">
        <v>89.0</v>
      </c>
      <c r="F142" s="18" t="s">
        <v>57</v>
      </c>
      <c r="G142" s="20">
        <v>79.0</v>
      </c>
    </row>
    <row r="143">
      <c r="A143" s="36" t="s">
        <v>456</v>
      </c>
      <c r="B143" s="24" t="s">
        <v>186</v>
      </c>
      <c r="C143" s="12">
        <v>99.0</v>
      </c>
      <c r="D143" s="13">
        <v>109.0</v>
      </c>
      <c r="E143" s="15">
        <v>89.0</v>
      </c>
      <c r="F143" s="18" t="s">
        <v>57</v>
      </c>
      <c r="G143" s="20">
        <v>79.0</v>
      </c>
    </row>
    <row r="144">
      <c r="A144" s="36" t="s">
        <v>461</v>
      </c>
      <c r="B144" s="24" t="s">
        <v>186</v>
      </c>
      <c r="C144" s="12">
        <v>149.0</v>
      </c>
      <c r="D144" s="13">
        <v>159.0</v>
      </c>
      <c r="E144" s="15">
        <v>139.0</v>
      </c>
      <c r="F144" s="18" t="s">
        <v>462</v>
      </c>
      <c r="G144" s="20">
        <v>119.0</v>
      </c>
    </row>
    <row r="145">
      <c r="A145" s="36" t="s">
        <v>463</v>
      </c>
      <c r="B145" s="24" t="s">
        <v>186</v>
      </c>
      <c r="C145" s="12">
        <v>249.0</v>
      </c>
      <c r="D145" s="13">
        <v>269.0</v>
      </c>
      <c r="E145" s="15">
        <v>225.0</v>
      </c>
      <c r="F145" s="18" t="s">
        <v>98</v>
      </c>
      <c r="G145" s="20">
        <v>199.0</v>
      </c>
    </row>
    <row r="146">
      <c r="A146" s="9" t="s">
        <v>466</v>
      </c>
      <c r="B146" s="24" t="s">
        <v>186</v>
      </c>
      <c r="C146" s="12">
        <v>260.0</v>
      </c>
      <c r="D146" s="13">
        <v>280.0</v>
      </c>
      <c r="E146" s="15">
        <v>225.0</v>
      </c>
      <c r="F146" s="18" t="s">
        <v>98</v>
      </c>
      <c r="G146" s="20">
        <v>200.0</v>
      </c>
    </row>
    <row r="147">
      <c r="A147" s="9" t="s">
        <v>469</v>
      </c>
      <c r="B147" s="24" t="s">
        <v>186</v>
      </c>
      <c r="C147" s="12">
        <v>309.0</v>
      </c>
      <c r="D147" s="13">
        <v>349.0</v>
      </c>
      <c r="E147" s="15">
        <v>275.0</v>
      </c>
      <c r="F147" s="18" t="s">
        <v>485</v>
      </c>
      <c r="G147" s="20">
        <v>249.0</v>
      </c>
    </row>
    <row r="148">
      <c r="A148" s="9" t="s">
        <v>490</v>
      </c>
      <c r="B148" s="24" t="s">
        <v>186</v>
      </c>
      <c r="C148" s="12">
        <v>399.0</v>
      </c>
      <c r="D148" s="13">
        <v>439.0</v>
      </c>
      <c r="E148" s="15">
        <v>349.0</v>
      </c>
      <c r="F148" s="18" t="s">
        <v>114</v>
      </c>
      <c r="G148" s="20">
        <v>325.0</v>
      </c>
    </row>
    <row r="149">
      <c r="A149" s="9" t="s">
        <v>495</v>
      </c>
      <c r="B149" s="24" t="s">
        <v>186</v>
      </c>
      <c r="C149" s="12">
        <v>499.0</v>
      </c>
      <c r="D149" s="13">
        <v>549.0</v>
      </c>
      <c r="E149" s="15">
        <v>449.0</v>
      </c>
      <c r="F149" s="18" t="s">
        <v>500</v>
      </c>
      <c r="G149" s="20">
        <v>399.0</v>
      </c>
    </row>
    <row r="150">
      <c r="A150" s="9" t="s">
        <v>161</v>
      </c>
      <c r="B150" s="24" t="s">
        <v>186</v>
      </c>
      <c r="C150" s="12">
        <v>499.0</v>
      </c>
      <c r="D150" s="13">
        <v>549.0</v>
      </c>
      <c r="E150" s="15">
        <v>449.0</v>
      </c>
      <c r="F150" s="18" t="s">
        <v>500</v>
      </c>
      <c r="G150" s="20">
        <v>399.0</v>
      </c>
    </row>
    <row r="151">
      <c r="A151" s="9" t="s">
        <v>505</v>
      </c>
      <c r="B151" s="24" t="s">
        <v>186</v>
      </c>
      <c r="C151" s="12">
        <v>750.0</v>
      </c>
      <c r="D151" s="13">
        <v>825.0</v>
      </c>
      <c r="E151" s="15">
        <v>675.0</v>
      </c>
      <c r="F151" s="18" t="s">
        <v>132</v>
      </c>
      <c r="G151" s="20">
        <v>600.0</v>
      </c>
    </row>
    <row r="152">
      <c r="A152" s="9" t="s">
        <v>244</v>
      </c>
      <c r="B152" s="24" t="s">
        <v>186</v>
      </c>
      <c r="C152" s="12">
        <v>799.0</v>
      </c>
      <c r="D152" s="13">
        <v>850.0</v>
      </c>
      <c r="E152" s="15">
        <v>675.0</v>
      </c>
      <c r="F152" s="18" t="s">
        <v>132</v>
      </c>
      <c r="G152" s="20">
        <v>600.0</v>
      </c>
    </row>
    <row r="153">
      <c r="A153" s="9" t="s">
        <v>251</v>
      </c>
      <c r="B153" s="24" t="s">
        <v>186</v>
      </c>
      <c r="C153" s="12">
        <v>799.0</v>
      </c>
      <c r="D153" s="13">
        <v>850.0</v>
      </c>
      <c r="E153" s="15">
        <v>675.0</v>
      </c>
      <c r="F153" s="18" t="s">
        <v>132</v>
      </c>
      <c r="G153" s="20">
        <v>600.0</v>
      </c>
    </row>
    <row r="154">
      <c r="A154" s="36" t="s">
        <v>510</v>
      </c>
      <c r="B154" s="10" t="s">
        <v>511</v>
      </c>
      <c r="C154" s="12" t="s">
        <v>135</v>
      </c>
      <c r="D154" s="13" t="s">
        <v>135</v>
      </c>
      <c r="E154" s="15" t="s">
        <v>135</v>
      </c>
      <c r="F154" s="18" t="s">
        <v>135</v>
      </c>
      <c r="G154" s="20" t="s">
        <v>135</v>
      </c>
    </row>
    <row r="155">
      <c r="A155" s="36" t="s">
        <v>514</v>
      </c>
      <c r="B155" s="10" t="s">
        <v>511</v>
      </c>
      <c r="C155" s="12" t="s">
        <v>135</v>
      </c>
      <c r="D155" s="13" t="s">
        <v>135</v>
      </c>
      <c r="E155" s="15" t="s">
        <v>135</v>
      </c>
      <c r="F155" s="18" t="s">
        <v>135</v>
      </c>
      <c r="G155" s="20" t="s">
        <v>135</v>
      </c>
    </row>
    <row r="156">
      <c r="A156" s="36" t="s">
        <v>517</v>
      </c>
      <c r="B156" s="10" t="s">
        <v>511</v>
      </c>
      <c r="C156" s="12" t="s">
        <v>135</v>
      </c>
      <c r="D156" s="13" t="s">
        <v>135</v>
      </c>
      <c r="E156" s="15" t="s">
        <v>135</v>
      </c>
      <c r="F156" s="18" t="s">
        <v>135</v>
      </c>
      <c r="G156" s="20" t="s">
        <v>135</v>
      </c>
    </row>
    <row r="157">
      <c r="A157" s="36" t="s">
        <v>519</v>
      </c>
      <c r="B157" s="10" t="s">
        <v>511</v>
      </c>
      <c r="C157" s="12" t="s">
        <v>135</v>
      </c>
      <c r="D157" s="13" t="s">
        <v>135</v>
      </c>
      <c r="E157" s="15" t="s">
        <v>135</v>
      </c>
      <c r="F157" s="18" t="s">
        <v>135</v>
      </c>
      <c r="G157" s="20" t="s">
        <v>135</v>
      </c>
    </row>
    <row r="158">
      <c r="A158" s="36" t="s">
        <v>521</v>
      </c>
      <c r="B158" s="10" t="s">
        <v>511</v>
      </c>
      <c r="C158" s="12" t="s">
        <v>135</v>
      </c>
      <c r="D158" s="13" t="s">
        <v>135</v>
      </c>
      <c r="E158" s="15" t="s">
        <v>135</v>
      </c>
      <c r="F158" s="18" t="s">
        <v>135</v>
      </c>
      <c r="G158" s="20" t="s">
        <v>135</v>
      </c>
    </row>
    <row r="159">
      <c r="A159" s="36" t="s">
        <v>522</v>
      </c>
      <c r="B159" s="10" t="s">
        <v>511</v>
      </c>
      <c r="C159" s="12" t="s">
        <v>135</v>
      </c>
      <c r="D159" s="13" t="s">
        <v>135</v>
      </c>
      <c r="E159" s="15" t="s">
        <v>135</v>
      </c>
      <c r="F159" s="18" t="s">
        <v>135</v>
      </c>
      <c r="G159" s="20" t="s">
        <v>135</v>
      </c>
    </row>
    <row r="160">
      <c r="A160" s="36" t="s">
        <v>524</v>
      </c>
      <c r="B160" s="10" t="s">
        <v>511</v>
      </c>
      <c r="C160" s="12" t="s">
        <v>135</v>
      </c>
      <c r="D160" s="13" t="s">
        <v>135</v>
      </c>
      <c r="E160" s="15" t="s">
        <v>135</v>
      </c>
      <c r="F160" s="18" t="s">
        <v>135</v>
      </c>
      <c r="G160" s="20" t="s">
        <v>135</v>
      </c>
    </row>
    <row r="161">
      <c r="A161" s="36" t="s">
        <v>526</v>
      </c>
      <c r="B161" s="10" t="s">
        <v>511</v>
      </c>
      <c r="C161" s="12" t="s">
        <v>135</v>
      </c>
      <c r="D161" s="13" t="s">
        <v>135</v>
      </c>
      <c r="E161" s="15" t="s">
        <v>135</v>
      </c>
      <c r="F161" s="18" t="s">
        <v>135</v>
      </c>
      <c r="G161" s="20" t="s">
        <v>135</v>
      </c>
    </row>
    <row r="162">
      <c r="A162" s="9" t="s">
        <v>527</v>
      </c>
      <c r="B162" s="96" t="s">
        <v>529</v>
      </c>
      <c r="C162" s="26">
        <v>0.008</v>
      </c>
      <c r="D162" s="28">
        <v>0.009</v>
      </c>
      <c r="E162" s="30">
        <v>0.006</v>
      </c>
      <c r="F162" s="32" t="s">
        <v>137</v>
      </c>
      <c r="G162" s="33">
        <v>0.005</v>
      </c>
    </row>
    <row r="163">
      <c r="A163" s="9" t="s">
        <v>569</v>
      </c>
      <c r="B163" s="10" t="s">
        <v>529</v>
      </c>
      <c r="C163" s="12">
        <v>349.0</v>
      </c>
      <c r="D163" s="13">
        <v>375.0</v>
      </c>
      <c r="E163" s="15">
        <v>299.0</v>
      </c>
      <c r="F163" s="18" t="s">
        <v>273</v>
      </c>
      <c r="G163" s="20">
        <v>275.0</v>
      </c>
    </row>
    <row r="164">
      <c r="A164" s="9" t="s">
        <v>573</v>
      </c>
      <c r="B164" s="96" t="s">
        <v>529</v>
      </c>
      <c r="C164" s="12">
        <v>1499.0</v>
      </c>
      <c r="D164" s="13">
        <v>1649.0</v>
      </c>
      <c r="E164" s="15">
        <v>1299.0</v>
      </c>
      <c r="F164" s="18" t="s">
        <v>188</v>
      </c>
      <c r="G164" s="20">
        <v>1199.0</v>
      </c>
    </row>
    <row r="165">
      <c r="A165" s="9" t="s">
        <v>575</v>
      </c>
      <c r="B165" s="10" t="s">
        <v>529</v>
      </c>
      <c r="C165" s="12">
        <v>1999.0</v>
      </c>
      <c r="D165" s="13">
        <v>2149.0</v>
      </c>
      <c r="E165" s="15">
        <v>1799.0</v>
      </c>
      <c r="F165" s="18" t="s">
        <v>576</v>
      </c>
      <c r="G165" s="20">
        <v>1550.0</v>
      </c>
    </row>
    <row r="166">
      <c r="A166" s="9" t="s">
        <v>577</v>
      </c>
      <c r="B166" s="10" t="s">
        <v>529</v>
      </c>
      <c r="C166" s="12">
        <v>3499.0</v>
      </c>
      <c r="D166" s="13">
        <v>3749.0</v>
      </c>
      <c r="E166" s="15">
        <v>2999.0</v>
      </c>
      <c r="F166" s="18" t="s">
        <v>579</v>
      </c>
      <c r="G166" s="20">
        <v>2750.0</v>
      </c>
    </row>
    <row r="167">
      <c r="A167" s="36" t="s">
        <v>580</v>
      </c>
      <c r="B167" s="10" t="s">
        <v>529</v>
      </c>
      <c r="C167" s="39">
        <v>50000.0</v>
      </c>
      <c r="D167" s="42">
        <v>53000.0</v>
      </c>
      <c r="E167" s="41">
        <v>42000.0</v>
      </c>
      <c r="F167" s="104" t="s">
        <v>589</v>
      </c>
      <c r="G167" s="45">
        <v>38000.0</v>
      </c>
    </row>
    <row r="168">
      <c r="A168" s="36" t="s">
        <v>598</v>
      </c>
      <c r="B168" s="10" t="s">
        <v>529</v>
      </c>
      <c r="C168" s="39">
        <v>75000.0</v>
      </c>
      <c r="D168" s="42">
        <v>79500.0</v>
      </c>
      <c r="E168" s="41">
        <v>63000.0</v>
      </c>
      <c r="F168" s="104" t="s">
        <v>601</v>
      </c>
      <c r="G168" s="45">
        <v>57000.0</v>
      </c>
    </row>
    <row r="169">
      <c r="C169" s="105"/>
      <c r="D169" s="105"/>
      <c r="E169" s="105"/>
      <c r="F169" s="105"/>
      <c r="G169" s="105"/>
    </row>
    <row r="170">
      <c r="B170" s="106"/>
      <c r="C170" s="107"/>
      <c r="D170" s="105"/>
      <c r="E170" s="107"/>
      <c r="F170" s="107"/>
      <c r="G170" s="108"/>
    </row>
    <row r="171">
      <c r="B171" s="106"/>
      <c r="C171" s="107"/>
      <c r="D171" s="107"/>
      <c r="E171" s="107"/>
      <c r="F171" s="107"/>
      <c r="G171" s="108"/>
    </row>
    <row r="172">
      <c r="A172" s="110" t="s">
        <v>608</v>
      </c>
      <c r="B172" s="111"/>
      <c r="C172" s="112"/>
      <c r="D172" s="113"/>
      <c r="E172" s="113"/>
      <c r="F172" s="113"/>
      <c r="G172" s="114"/>
    </row>
    <row r="173">
      <c r="A173" s="116" t="s">
        <v>615</v>
      </c>
      <c r="B173" s="111"/>
      <c r="C173" s="12">
        <v>12999.0</v>
      </c>
      <c r="D173" s="13">
        <v>13999.0</v>
      </c>
      <c r="E173" s="15">
        <v>10500.0</v>
      </c>
      <c r="F173" s="118">
        <v>7999.0</v>
      </c>
      <c r="G173" s="20">
        <v>9999.0</v>
      </c>
    </row>
    <row r="174">
      <c r="A174" s="116" t="s">
        <v>621</v>
      </c>
      <c r="B174" s="111"/>
      <c r="C174" s="12">
        <v>17999.0</v>
      </c>
      <c r="D174" s="13">
        <v>18999.0</v>
      </c>
      <c r="E174" s="15">
        <v>13999.0</v>
      </c>
      <c r="F174" s="118">
        <v>10999.0</v>
      </c>
      <c r="G174" s="20">
        <v>12999.0</v>
      </c>
    </row>
    <row r="175">
      <c r="A175" s="116" t="s">
        <v>622</v>
      </c>
      <c r="B175" s="111"/>
      <c r="C175" s="12">
        <v>23999.0</v>
      </c>
      <c r="D175" s="13">
        <v>25999.0</v>
      </c>
      <c r="E175" s="15">
        <v>18999.0</v>
      </c>
      <c r="F175" s="118">
        <v>14999.0</v>
      </c>
      <c r="G175" s="20">
        <v>17999.0</v>
      </c>
    </row>
    <row r="176">
      <c r="A176" s="116" t="s">
        <v>623</v>
      </c>
      <c r="B176" s="111"/>
      <c r="C176" s="12">
        <v>68500.0</v>
      </c>
      <c r="D176" s="13">
        <v>74500.0</v>
      </c>
      <c r="E176" s="15">
        <v>54500.0</v>
      </c>
      <c r="F176" s="118">
        <v>42500.0</v>
      </c>
      <c r="G176" s="20">
        <v>50999.0</v>
      </c>
    </row>
    <row r="177">
      <c r="A177" s="116" t="s">
        <v>625</v>
      </c>
      <c r="B177" s="111"/>
      <c r="C177" s="12">
        <v>99500.0</v>
      </c>
      <c r="D177" s="13">
        <v>107500.0</v>
      </c>
      <c r="E177" s="15">
        <v>79500.0</v>
      </c>
      <c r="F177" s="118">
        <v>62500.0</v>
      </c>
      <c r="G177" s="20">
        <v>73500.0</v>
      </c>
    </row>
    <row r="178">
      <c r="B178" s="106"/>
      <c r="C178" s="107"/>
      <c r="D178" s="107"/>
      <c r="E178" s="107"/>
      <c r="F178" s="107"/>
      <c r="G178" s="108"/>
    </row>
    <row r="179">
      <c r="B179" s="106"/>
      <c r="C179" s="107"/>
      <c r="D179" s="107"/>
      <c r="E179" s="107"/>
      <c r="F179" s="107"/>
      <c r="G179" s="108"/>
    </row>
    <row r="180">
      <c r="B180" s="106"/>
      <c r="C180" s="107"/>
      <c r="D180" s="107"/>
      <c r="E180" s="107"/>
      <c r="F180" s="107"/>
      <c r="G180" s="108"/>
    </row>
    <row r="181">
      <c r="B181" s="106"/>
      <c r="C181" s="107"/>
      <c r="D181" s="107"/>
      <c r="E181" s="107"/>
      <c r="F181" s="107"/>
      <c r="G181" s="108"/>
    </row>
    <row r="182">
      <c r="B182" s="106"/>
      <c r="C182" s="107"/>
      <c r="D182" s="107"/>
      <c r="E182" s="107"/>
      <c r="F182" s="107"/>
      <c r="G182" s="108"/>
    </row>
    <row r="183">
      <c r="B183" s="106"/>
      <c r="C183" s="107"/>
      <c r="D183" s="107"/>
      <c r="E183" s="107"/>
      <c r="F183" s="107"/>
      <c r="G183" s="108"/>
    </row>
    <row r="184">
      <c r="B184" s="106"/>
      <c r="C184" s="107"/>
      <c r="D184" s="107"/>
      <c r="E184" s="107"/>
      <c r="F184" s="107"/>
      <c r="G184" s="108"/>
    </row>
    <row r="185">
      <c r="B185" s="106"/>
      <c r="C185" s="107"/>
      <c r="D185" s="107"/>
      <c r="E185" s="107"/>
      <c r="F185" s="107"/>
      <c r="G185" s="108"/>
    </row>
    <row r="186">
      <c r="B186" s="106"/>
      <c r="C186" s="107"/>
      <c r="D186" s="107"/>
      <c r="E186" s="107"/>
      <c r="F186" s="107"/>
      <c r="G186" s="108"/>
    </row>
    <row r="187">
      <c r="B187" s="106"/>
      <c r="C187" s="107"/>
      <c r="D187" s="107"/>
      <c r="E187" s="107"/>
      <c r="F187" s="107"/>
      <c r="G187" s="108"/>
    </row>
    <row r="188">
      <c r="B188" s="106"/>
      <c r="C188" s="107"/>
      <c r="D188" s="107"/>
      <c r="E188" s="107"/>
      <c r="F188" s="107"/>
      <c r="G188" s="108"/>
    </row>
    <row r="189">
      <c r="B189" s="106"/>
      <c r="C189" s="107"/>
      <c r="D189" s="107"/>
      <c r="E189" s="107"/>
      <c r="F189" s="107"/>
      <c r="G189" s="108"/>
    </row>
    <row r="190">
      <c r="B190" s="106"/>
      <c r="C190" s="107"/>
      <c r="D190" s="107"/>
      <c r="E190" s="107"/>
      <c r="F190" s="107"/>
      <c r="G190" s="108"/>
    </row>
    <row r="191">
      <c r="B191" s="106"/>
      <c r="C191" s="107"/>
      <c r="D191" s="107"/>
      <c r="E191" s="107"/>
      <c r="F191" s="107"/>
      <c r="G191" s="108"/>
    </row>
    <row r="192">
      <c r="B192" s="106"/>
      <c r="C192" s="107"/>
      <c r="D192" s="107"/>
      <c r="E192" s="107"/>
      <c r="F192" s="107"/>
      <c r="G192" s="108"/>
    </row>
    <row r="193">
      <c r="B193" s="106"/>
      <c r="C193" s="107"/>
      <c r="D193" s="107"/>
      <c r="E193" s="107"/>
      <c r="F193" s="107"/>
      <c r="G193" s="108"/>
    </row>
    <row r="194">
      <c r="B194" s="106"/>
      <c r="C194" s="107"/>
      <c r="D194" s="107"/>
      <c r="E194" s="107"/>
      <c r="F194" s="107"/>
      <c r="G194" s="108"/>
    </row>
    <row r="195">
      <c r="B195" s="106"/>
      <c r="C195" s="107"/>
      <c r="D195" s="107"/>
      <c r="E195" s="107"/>
      <c r="F195" s="107"/>
      <c r="G195" s="108"/>
    </row>
    <row r="196">
      <c r="B196" s="106"/>
      <c r="C196" s="107"/>
      <c r="D196" s="107"/>
      <c r="E196" s="107"/>
      <c r="F196" s="107"/>
      <c r="G196" s="108"/>
    </row>
    <row r="197">
      <c r="B197" s="106"/>
      <c r="C197" s="107"/>
      <c r="D197" s="107"/>
      <c r="E197" s="107"/>
      <c r="F197" s="107"/>
      <c r="G197" s="108"/>
    </row>
    <row r="198">
      <c r="B198" s="106"/>
      <c r="C198" s="107"/>
      <c r="D198" s="107"/>
      <c r="E198" s="107"/>
      <c r="F198" s="107"/>
      <c r="G198" s="108"/>
    </row>
    <row r="199">
      <c r="B199" s="106"/>
      <c r="C199" s="107"/>
      <c r="D199" s="107"/>
      <c r="E199" s="107"/>
      <c r="F199" s="107"/>
      <c r="G199" s="108"/>
    </row>
    <row r="200">
      <c r="B200" s="106"/>
      <c r="C200" s="107"/>
      <c r="D200" s="107"/>
      <c r="E200" s="107"/>
      <c r="F200" s="107"/>
      <c r="G200" s="108"/>
    </row>
    <row r="201">
      <c r="B201" s="106"/>
      <c r="C201" s="107"/>
      <c r="D201" s="107"/>
      <c r="E201" s="107"/>
      <c r="F201" s="107"/>
      <c r="G201" s="108"/>
    </row>
    <row r="202">
      <c r="B202" s="106"/>
      <c r="C202" s="107"/>
      <c r="D202" s="107"/>
      <c r="E202" s="107"/>
      <c r="F202" s="107"/>
      <c r="G202" s="108"/>
    </row>
    <row r="203">
      <c r="B203" s="106"/>
      <c r="C203" s="107"/>
      <c r="D203" s="107"/>
      <c r="E203" s="107"/>
      <c r="F203" s="107"/>
      <c r="G203" s="108"/>
    </row>
    <row r="204">
      <c r="B204" s="106"/>
      <c r="C204" s="107"/>
      <c r="D204" s="107"/>
      <c r="E204" s="107"/>
      <c r="F204" s="107"/>
      <c r="G204" s="108"/>
    </row>
    <row r="205">
      <c r="B205" s="106"/>
      <c r="C205" s="107"/>
      <c r="D205" s="107"/>
      <c r="E205" s="107"/>
      <c r="F205" s="107"/>
      <c r="G205" s="108"/>
    </row>
    <row r="206">
      <c r="B206" s="106"/>
      <c r="C206" s="107"/>
      <c r="D206" s="107"/>
      <c r="E206" s="107"/>
      <c r="F206" s="107"/>
      <c r="G206" s="108"/>
    </row>
    <row r="207">
      <c r="B207" s="106"/>
      <c r="C207" s="107"/>
      <c r="D207" s="107"/>
      <c r="E207" s="107"/>
      <c r="F207" s="107"/>
      <c r="G207" s="108"/>
    </row>
    <row r="208">
      <c r="B208" s="106"/>
      <c r="C208" s="107"/>
      <c r="D208" s="107"/>
      <c r="E208" s="107"/>
      <c r="F208" s="107"/>
      <c r="G208" s="108"/>
    </row>
    <row r="209">
      <c r="B209" s="106"/>
      <c r="C209" s="107"/>
      <c r="D209" s="107"/>
      <c r="E209" s="107"/>
      <c r="F209" s="107"/>
      <c r="G209" s="108"/>
    </row>
    <row r="210">
      <c r="B210" s="106"/>
      <c r="C210" s="107"/>
      <c r="D210" s="107"/>
      <c r="E210" s="107"/>
      <c r="F210" s="107"/>
      <c r="G210" s="108"/>
    </row>
    <row r="211">
      <c r="B211" s="106"/>
      <c r="C211" s="107"/>
      <c r="D211" s="107"/>
      <c r="E211" s="107"/>
      <c r="F211" s="107"/>
      <c r="G211" s="108"/>
    </row>
    <row r="212">
      <c r="B212" s="106"/>
      <c r="C212" s="107"/>
      <c r="D212" s="107"/>
      <c r="E212" s="107"/>
      <c r="F212" s="107"/>
      <c r="G212" s="108"/>
    </row>
    <row r="213">
      <c r="B213" s="106"/>
      <c r="C213" s="107"/>
      <c r="D213" s="107"/>
      <c r="E213" s="107"/>
      <c r="F213" s="107"/>
      <c r="G213" s="108"/>
    </row>
    <row r="214">
      <c r="B214" s="106"/>
      <c r="C214" s="107"/>
      <c r="D214" s="107"/>
      <c r="E214" s="107"/>
      <c r="F214" s="107"/>
      <c r="G214" s="108"/>
    </row>
    <row r="215">
      <c r="B215" s="106"/>
      <c r="C215" s="107"/>
      <c r="D215" s="107"/>
      <c r="E215" s="107"/>
      <c r="F215" s="107"/>
      <c r="G215" s="108"/>
    </row>
    <row r="216">
      <c r="B216" s="106"/>
      <c r="C216" s="107"/>
      <c r="D216" s="107"/>
      <c r="E216" s="107"/>
      <c r="F216" s="107"/>
      <c r="G216" s="108"/>
    </row>
    <row r="217">
      <c r="B217" s="106"/>
      <c r="C217" s="107"/>
      <c r="D217" s="107"/>
      <c r="E217" s="107"/>
      <c r="F217" s="107"/>
      <c r="G217" s="108"/>
    </row>
    <row r="218">
      <c r="B218" s="106"/>
      <c r="C218" s="107"/>
      <c r="D218" s="107"/>
      <c r="E218" s="107"/>
      <c r="F218" s="107"/>
      <c r="G218" s="108"/>
    </row>
    <row r="219">
      <c r="B219" s="106"/>
      <c r="C219" s="107"/>
      <c r="D219" s="107"/>
      <c r="E219" s="107"/>
      <c r="F219" s="107"/>
      <c r="G219" s="108"/>
    </row>
    <row r="220">
      <c r="B220" s="106"/>
      <c r="C220" s="107"/>
      <c r="D220" s="107"/>
      <c r="E220" s="107"/>
      <c r="F220" s="107"/>
      <c r="G220" s="108"/>
    </row>
    <row r="221">
      <c r="B221" s="106"/>
      <c r="C221" s="107"/>
      <c r="D221" s="107"/>
      <c r="E221" s="107"/>
      <c r="F221" s="107"/>
      <c r="G221" s="108"/>
    </row>
    <row r="222">
      <c r="B222" s="106"/>
      <c r="C222" s="107"/>
      <c r="D222" s="107"/>
      <c r="E222" s="107"/>
      <c r="F222" s="107"/>
      <c r="G222" s="108"/>
    </row>
    <row r="223">
      <c r="B223" s="106"/>
      <c r="C223" s="107"/>
      <c r="D223" s="107"/>
      <c r="E223" s="107"/>
      <c r="F223" s="107"/>
      <c r="G223" s="108"/>
    </row>
    <row r="224">
      <c r="B224" s="106"/>
      <c r="C224" s="107"/>
      <c r="D224" s="107"/>
      <c r="E224" s="107"/>
      <c r="F224" s="107"/>
      <c r="G224" s="108"/>
    </row>
    <row r="225">
      <c r="B225" s="106"/>
      <c r="C225" s="107"/>
      <c r="D225" s="107"/>
      <c r="E225" s="107"/>
      <c r="F225" s="107"/>
      <c r="G225" s="108"/>
    </row>
    <row r="226">
      <c r="B226" s="106"/>
      <c r="C226" s="107"/>
      <c r="D226" s="107"/>
      <c r="E226" s="107"/>
      <c r="F226" s="107"/>
      <c r="G226" s="108"/>
    </row>
    <row r="227">
      <c r="B227" s="106"/>
      <c r="C227" s="107"/>
      <c r="D227" s="107"/>
      <c r="E227" s="107"/>
      <c r="F227" s="107"/>
      <c r="G227" s="108"/>
    </row>
    <row r="228">
      <c r="B228" s="106"/>
      <c r="C228" s="107"/>
      <c r="D228" s="107"/>
      <c r="E228" s="107"/>
      <c r="F228" s="107"/>
      <c r="G228" s="108"/>
    </row>
    <row r="229">
      <c r="B229" s="106"/>
      <c r="C229" s="107"/>
      <c r="D229" s="107"/>
      <c r="E229" s="107"/>
      <c r="F229" s="107"/>
      <c r="G229" s="108"/>
    </row>
    <row r="230">
      <c r="B230" s="106"/>
      <c r="C230" s="107"/>
      <c r="D230" s="107"/>
      <c r="E230" s="107"/>
      <c r="F230" s="107"/>
      <c r="G230" s="108"/>
    </row>
    <row r="231">
      <c r="B231" s="106"/>
      <c r="C231" s="107"/>
      <c r="D231" s="107"/>
      <c r="E231" s="107"/>
      <c r="F231" s="107"/>
      <c r="G231" s="108"/>
    </row>
    <row r="232">
      <c r="B232" s="106"/>
      <c r="C232" s="107"/>
      <c r="D232" s="107"/>
      <c r="E232" s="107"/>
      <c r="F232" s="107"/>
      <c r="G232" s="108"/>
    </row>
    <row r="233">
      <c r="B233" s="106"/>
      <c r="C233" s="107"/>
      <c r="D233" s="107"/>
      <c r="E233" s="107"/>
      <c r="F233" s="107"/>
      <c r="G233" s="108"/>
    </row>
    <row r="234">
      <c r="B234" s="106"/>
      <c r="C234" s="107"/>
      <c r="D234" s="107"/>
      <c r="E234" s="107"/>
      <c r="F234" s="107"/>
      <c r="G234" s="108"/>
    </row>
    <row r="235">
      <c r="B235" s="106"/>
      <c r="C235" s="107"/>
      <c r="D235" s="107"/>
      <c r="E235" s="107"/>
      <c r="F235" s="107"/>
      <c r="G235" s="108"/>
    </row>
    <row r="236">
      <c r="B236" s="106"/>
      <c r="C236" s="107"/>
      <c r="D236" s="107"/>
      <c r="E236" s="107"/>
      <c r="F236" s="107"/>
      <c r="G236" s="108"/>
    </row>
    <row r="237">
      <c r="B237" s="106"/>
      <c r="C237" s="107"/>
      <c r="D237" s="107"/>
      <c r="E237" s="107"/>
      <c r="F237" s="107"/>
      <c r="G237" s="108"/>
    </row>
    <row r="238">
      <c r="B238" s="106"/>
      <c r="C238" s="107"/>
      <c r="D238" s="107"/>
      <c r="E238" s="107"/>
      <c r="F238" s="107"/>
      <c r="G238" s="108"/>
    </row>
    <row r="239">
      <c r="B239" s="106"/>
      <c r="C239" s="107"/>
      <c r="D239" s="107"/>
      <c r="E239" s="107"/>
      <c r="F239" s="107"/>
      <c r="G239" s="108"/>
    </row>
    <row r="240">
      <c r="B240" s="106"/>
      <c r="C240" s="107"/>
      <c r="D240" s="107"/>
      <c r="E240" s="107"/>
      <c r="F240" s="107"/>
      <c r="G240" s="108"/>
    </row>
    <row r="241">
      <c r="B241" s="106"/>
      <c r="C241" s="107"/>
      <c r="D241" s="107"/>
      <c r="E241" s="107"/>
      <c r="F241" s="107"/>
      <c r="G241" s="108"/>
    </row>
    <row r="242">
      <c r="B242" s="106"/>
      <c r="C242" s="107"/>
      <c r="D242" s="107"/>
      <c r="E242" s="107"/>
      <c r="F242" s="107"/>
      <c r="G242" s="108"/>
    </row>
    <row r="243">
      <c r="B243" s="106"/>
      <c r="C243" s="107"/>
      <c r="D243" s="107"/>
      <c r="E243" s="107"/>
      <c r="F243" s="107"/>
      <c r="G243" s="108"/>
    </row>
    <row r="244">
      <c r="B244" s="106"/>
      <c r="C244" s="107"/>
      <c r="D244" s="107"/>
      <c r="E244" s="107"/>
      <c r="F244" s="107"/>
      <c r="G244" s="108"/>
    </row>
    <row r="245">
      <c r="B245" s="106"/>
      <c r="C245" s="107"/>
      <c r="D245" s="107"/>
      <c r="E245" s="107"/>
      <c r="F245" s="107"/>
      <c r="G245" s="108"/>
    </row>
    <row r="246">
      <c r="B246" s="106"/>
      <c r="C246" s="107"/>
      <c r="D246" s="107"/>
      <c r="E246" s="107"/>
      <c r="F246" s="107"/>
      <c r="G246" s="108"/>
    </row>
    <row r="247">
      <c r="B247" s="106"/>
      <c r="C247" s="107"/>
      <c r="D247" s="107"/>
      <c r="E247" s="107"/>
      <c r="F247" s="107"/>
      <c r="G247" s="108"/>
    </row>
    <row r="248">
      <c r="B248" s="106"/>
      <c r="C248" s="107"/>
      <c r="D248" s="107"/>
      <c r="E248" s="107"/>
      <c r="F248" s="107"/>
      <c r="G248" s="108"/>
    </row>
    <row r="249">
      <c r="B249" s="106"/>
      <c r="C249" s="107"/>
      <c r="D249" s="107"/>
      <c r="E249" s="107"/>
      <c r="F249" s="107"/>
      <c r="G249" s="108"/>
    </row>
    <row r="250">
      <c r="B250" s="106"/>
      <c r="C250" s="107"/>
      <c r="D250" s="107"/>
      <c r="E250" s="107"/>
      <c r="F250" s="107"/>
      <c r="G250" s="108"/>
    </row>
    <row r="251">
      <c r="B251" s="106"/>
      <c r="C251" s="107"/>
      <c r="D251" s="107"/>
      <c r="E251" s="107"/>
      <c r="F251" s="107"/>
      <c r="G251" s="108"/>
    </row>
    <row r="252">
      <c r="B252" s="106"/>
      <c r="C252" s="107"/>
      <c r="D252" s="107"/>
      <c r="E252" s="107"/>
      <c r="F252" s="107"/>
      <c r="G252" s="108"/>
    </row>
    <row r="253">
      <c r="B253" s="106"/>
      <c r="C253" s="107"/>
      <c r="D253" s="107"/>
      <c r="E253" s="107"/>
      <c r="F253" s="107"/>
      <c r="G253" s="108"/>
    </row>
    <row r="254">
      <c r="B254" s="106"/>
      <c r="C254" s="107"/>
      <c r="D254" s="107"/>
      <c r="E254" s="107"/>
      <c r="F254" s="107"/>
      <c r="G254" s="108"/>
    </row>
    <row r="255">
      <c r="B255" s="106"/>
      <c r="C255" s="107"/>
      <c r="D255" s="107"/>
      <c r="E255" s="107"/>
      <c r="F255" s="107"/>
      <c r="G255" s="108"/>
    </row>
    <row r="256">
      <c r="B256" s="106"/>
      <c r="C256" s="107"/>
      <c r="D256" s="107"/>
      <c r="E256" s="107"/>
      <c r="F256" s="107"/>
      <c r="G256" s="108"/>
    </row>
    <row r="257">
      <c r="B257" s="106"/>
      <c r="C257" s="107"/>
      <c r="D257" s="107"/>
      <c r="E257" s="107"/>
      <c r="F257" s="107"/>
      <c r="G257" s="108"/>
    </row>
    <row r="258">
      <c r="B258" s="106"/>
      <c r="C258" s="107"/>
      <c r="D258" s="107"/>
      <c r="E258" s="107"/>
      <c r="F258" s="107"/>
      <c r="G258" s="108"/>
    </row>
    <row r="259">
      <c r="B259" s="106"/>
      <c r="C259" s="107"/>
      <c r="D259" s="107"/>
      <c r="E259" s="107"/>
      <c r="F259" s="107"/>
      <c r="G259" s="108"/>
    </row>
    <row r="260">
      <c r="B260" s="106"/>
      <c r="C260" s="107"/>
      <c r="D260" s="107"/>
      <c r="E260" s="107"/>
      <c r="F260" s="107"/>
      <c r="G260" s="108"/>
    </row>
    <row r="261">
      <c r="B261" s="106"/>
      <c r="C261" s="107"/>
      <c r="D261" s="107"/>
      <c r="E261" s="107"/>
      <c r="F261" s="107"/>
      <c r="G261" s="108"/>
    </row>
    <row r="262">
      <c r="B262" s="106"/>
      <c r="C262" s="107"/>
      <c r="D262" s="107"/>
      <c r="E262" s="107"/>
      <c r="F262" s="107"/>
      <c r="G262" s="108"/>
    </row>
    <row r="263">
      <c r="B263" s="106"/>
      <c r="C263" s="107"/>
      <c r="D263" s="107"/>
      <c r="E263" s="107"/>
      <c r="F263" s="107"/>
      <c r="G263" s="108"/>
    </row>
    <row r="264">
      <c r="B264" s="106"/>
      <c r="C264" s="107"/>
      <c r="D264" s="107"/>
      <c r="E264" s="107"/>
      <c r="F264" s="107"/>
      <c r="G264" s="108"/>
    </row>
    <row r="265">
      <c r="B265" s="106"/>
      <c r="C265" s="107"/>
      <c r="D265" s="107"/>
      <c r="E265" s="107"/>
      <c r="F265" s="107"/>
      <c r="G265" s="108"/>
    </row>
    <row r="266">
      <c r="B266" s="106"/>
      <c r="C266" s="107"/>
      <c r="D266" s="107"/>
      <c r="E266" s="107"/>
      <c r="F266" s="107"/>
      <c r="G266" s="108"/>
    </row>
    <row r="267">
      <c r="B267" s="106"/>
      <c r="C267" s="107"/>
      <c r="D267" s="107"/>
      <c r="E267" s="107"/>
      <c r="F267" s="107"/>
      <c r="G267" s="108"/>
    </row>
    <row r="268">
      <c r="B268" s="106"/>
      <c r="C268" s="107"/>
      <c r="D268" s="107"/>
      <c r="E268" s="107"/>
      <c r="F268" s="107"/>
      <c r="G268" s="108"/>
    </row>
    <row r="269">
      <c r="B269" s="106"/>
      <c r="C269" s="107"/>
      <c r="D269" s="107"/>
      <c r="E269" s="107"/>
      <c r="F269" s="107"/>
      <c r="G269" s="108"/>
    </row>
    <row r="270">
      <c r="B270" s="106"/>
      <c r="C270" s="107"/>
      <c r="D270" s="107"/>
      <c r="E270" s="107"/>
      <c r="F270" s="107"/>
      <c r="G270" s="108"/>
    </row>
    <row r="271">
      <c r="B271" s="106"/>
      <c r="C271" s="107"/>
      <c r="D271" s="107"/>
      <c r="E271" s="107"/>
      <c r="F271" s="107"/>
      <c r="G271" s="108"/>
    </row>
    <row r="272">
      <c r="B272" s="106"/>
      <c r="C272" s="107"/>
      <c r="D272" s="107"/>
      <c r="E272" s="107"/>
      <c r="F272" s="107"/>
      <c r="G272" s="108"/>
    </row>
    <row r="273">
      <c r="B273" s="106"/>
      <c r="C273" s="107"/>
      <c r="D273" s="107"/>
      <c r="E273" s="107"/>
      <c r="F273" s="107"/>
      <c r="G273" s="108"/>
    </row>
    <row r="274">
      <c r="B274" s="106"/>
      <c r="C274" s="107"/>
      <c r="D274" s="107"/>
      <c r="E274" s="107"/>
      <c r="F274" s="107"/>
      <c r="G274" s="108"/>
    </row>
    <row r="275">
      <c r="B275" s="106"/>
      <c r="C275" s="107"/>
      <c r="D275" s="107"/>
      <c r="E275" s="107"/>
      <c r="F275" s="107"/>
      <c r="G275" s="108"/>
    </row>
    <row r="276">
      <c r="B276" s="106"/>
      <c r="C276" s="107"/>
      <c r="D276" s="107"/>
      <c r="E276" s="107"/>
      <c r="F276" s="107"/>
      <c r="G276" s="108"/>
    </row>
    <row r="277">
      <c r="B277" s="106"/>
      <c r="C277" s="107"/>
      <c r="D277" s="107"/>
      <c r="E277" s="107"/>
      <c r="F277" s="107"/>
      <c r="G277" s="108"/>
    </row>
    <row r="278">
      <c r="B278" s="106"/>
      <c r="C278" s="107"/>
      <c r="D278" s="107"/>
      <c r="E278" s="107"/>
      <c r="F278" s="107"/>
      <c r="G278" s="108"/>
    </row>
    <row r="279">
      <c r="B279" s="106"/>
      <c r="C279" s="107"/>
      <c r="D279" s="107"/>
      <c r="E279" s="107"/>
      <c r="F279" s="107"/>
      <c r="G279" s="108"/>
    </row>
    <row r="280">
      <c r="B280" s="106"/>
      <c r="C280" s="107"/>
      <c r="D280" s="107"/>
      <c r="E280" s="107"/>
      <c r="F280" s="107"/>
      <c r="G280" s="108"/>
    </row>
    <row r="281">
      <c r="B281" s="106"/>
      <c r="C281" s="107"/>
      <c r="D281" s="107"/>
      <c r="E281" s="107"/>
      <c r="F281" s="107"/>
      <c r="G281" s="108"/>
    </row>
    <row r="282">
      <c r="B282" s="106"/>
      <c r="C282" s="107"/>
      <c r="D282" s="107"/>
      <c r="E282" s="107"/>
      <c r="F282" s="107"/>
      <c r="G282" s="108"/>
    </row>
    <row r="283">
      <c r="B283" s="106"/>
      <c r="C283" s="107"/>
      <c r="D283" s="107"/>
      <c r="E283" s="107"/>
      <c r="F283" s="107"/>
      <c r="G283" s="108"/>
    </row>
    <row r="284">
      <c r="B284" s="106"/>
      <c r="C284" s="107"/>
      <c r="D284" s="107"/>
      <c r="E284" s="107"/>
      <c r="F284" s="107"/>
      <c r="G284" s="108"/>
    </row>
    <row r="285">
      <c r="B285" s="106"/>
      <c r="C285" s="107"/>
      <c r="D285" s="107"/>
      <c r="E285" s="107"/>
      <c r="F285" s="107"/>
      <c r="G285" s="108"/>
    </row>
    <row r="286">
      <c r="B286" s="106"/>
      <c r="C286" s="107"/>
      <c r="D286" s="107"/>
      <c r="E286" s="107"/>
      <c r="F286" s="107"/>
      <c r="G286" s="108"/>
    </row>
    <row r="287">
      <c r="B287" s="106"/>
      <c r="C287" s="107"/>
      <c r="D287" s="107"/>
      <c r="E287" s="107"/>
      <c r="F287" s="107"/>
      <c r="G287" s="108"/>
    </row>
    <row r="288">
      <c r="B288" s="106"/>
      <c r="C288" s="107"/>
      <c r="D288" s="107"/>
      <c r="E288" s="107"/>
      <c r="F288" s="107"/>
      <c r="G288" s="108"/>
    </row>
    <row r="289">
      <c r="B289" s="106"/>
      <c r="C289" s="107"/>
      <c r="D289" s="107"/>
      <c r="E289" s="107"/>
      <c r="F289" s="107"/>
      <c r="G289" s="108"/>
    </row>
    <row r="290">
      <c r="B290" s="106"/>
      <c r="C290" s="107"/>
      <c r="D290" s="107"/>
      <c r="E290" s="107"/>
      <c r="F290" s="107"/>
      <c r="G290" s="108"/>
    </row>
    <row r="291">
      <c r="B291" s="106"/>
      <c r="C291" s="107"/>
      <c r="D291" s="107"/>
      <c r="E291" s="107"/>
      <c r="F291" s="107"/>
      <c r="G291" s="108"/>
    </row>
    <row r="292">
      <c r="B292" s="106"/>
      <c r="C292" s="107"/>
      <c r="D292" s="107"/>
      <c r="E292" s="107"/>
      <c r="F292" s="107"/>
      <c r="G292" s="108"/>
    </row>
    <row r="293">
      <c r="B293" s="106"/>
      <c r="C293" s="107"/>
      <c r="D293" s="107"/>
      <c r="E293" s="107"/>
      <c r="F293" s="107"/>
      <c r="G293" s="108"/>
    </row>
    <row r="294">
      <c r="B294" s="106"/>
      <c r="C294" s="107"/>
      <c r="D294" s="107"/>
      <c r="E294" s="107"/>
      <c r="F294" s="107"/>
      <c r="G294" s="108"/>
    </row>
    <row r="295">
      <c r="B295" s="106"/>
      <c r="C295" s="107"/>
      <c r="D295" s="107"/>
      <c r="E295" s="107"/>
      <c r="F295" s="107"/>
      <c r="G295" s="108"/>
    </row>
    <row r="296">
      <c r="B296" s="106"/>
      <c r="C296" s="107"/>
      <c r="D296" s="107"/>
      <c r="E296" s="107"/>
      <c r="F296" s="107"/>
      <c r="G296" s="108"/>
    </row>
    <row r="297">
      <c r="B297" s="106"/>
      <c r="C297" s="107"/>
      <c r="D297" s="107"/>
      <c r="E297" s="107"/>
      <c r="F297" s="107"/>
      <c r="G297" s="108"/>
    </row>
    <row r="298">
      <c r="B298" s="106"/>
      <c r="C298" s="107"/>
      <c r="D298" s="107"/>
      <c r="E298" s="107"/>
      <c r="F298" s="107"/>
      <c r="G298" s="108"/>
    </row>
    <row r="299">
      <c r="B299" s="106"/>
      <c r="C299" s="107"/>
      <c r="D299" s="107"/>
      <c r="E299" s="107"/>
      <c r="F299" s="107"/>
      <c r="G299" s="108"/>
    </row>
    <row r="300">
      <c r="B300" s="106"/>
      <c r="C300" s="107"/>
      <c r="D300" s="107"/>
      <c r="E300" s="107"/>
      <c r="F300" s="107"/>
      <c r="G300" s="108"/>
    </row>
    <row r="301">
      <c r="B301" s="106"/>
      <c r="C301" s="107"/>
      <c r="D301" s="107"/>
      <c r="E301" s="107"/>
      <c r="F301" s="107"/>
      <c r="G301" s="108"/>
    </row>
    <row r="302">
      <c r="B302" s="106"/>
      <c r="C302" s="107"/>
      <c r="D302" s="107"/>
      <c r="E302" s="107"/>
      <c r="F302" s="107"/>
      <c r="G302" s="108"/>
    </row>
    <row r="303">
      <c r="B303" s="106"/>
      <c r="C303" s="107"/>
      <c r="D303" s="107"/>
      <c r="E303" s="107"/>
      <c r="F303" s="107"/>
      <c r="G303" s="108"/>
    </row>
    <row r="304">
      <c r="B304" s="106"/>
      <c r="C304" s="107"/>
      <c r="D304" s="107"/>
      <c r="E304" s="107"/>
      <c r="F304" s="107"/>
      <c r="G304" s="108"/>
    </row>
    <row r="305">
      <c r="B305" s="106"/>
      <c r="C305" s="107"/>
      <c r="D305" s="107"/>
      <c r="E305" s="107"/>
      <c r="F305" s="107"/>
      <c r="G305" s="108"/>
    </row>
    <row r="306">
      <c r="B306" s="106"/>
      <c r="C306" s="107"/>
      <c r="D306" s="107"/>
      <c r="E306" s="107"/>
      <c r="F306" s="107"/>
      <c r="G306" s="108"/>
    </row>
    <row r="307">
      <c r="B307" s="106"/>
      <c r="C307" s="107"/>
      <c r="D307" s="107"/>
      <c r="E307" s="107"/>
      <c r="F307" s="107"/>
      <c r="G307" s="108"/>
    </row>
    <row r="308">
      <c r="B308" s="106"/>
      <c r="C308" s="107"/>
      <c r="D308" s="107"/>
      <c r="E308" s="107"/>
      <c r="F308" s="107"/>
      <c r="G308" s="108"/>
    </row>
    <row r="309">
      <c r="B309" s="106"/>
      <c r="C309" s="107"/>
      <c r="D309" s="107"/>
      <c r="E309" s="107"/>
      <c r="F309" s="107"/>
      <c r="G309" s="108"/>
    </row>
    <row r="310">
      <c r="B310" s="106"/>
      <c r="C310" s="107"/>
      <c r="D310" s="107"/>
      <c r="E310" s="107"/>
      <c r="F310" s="107"/>
      <c r="G310" s="108"/>
    </row>
    <row r="311">
      <c r="B311" s="106"/>
      <c r="C311" s="107"/>
      <c r="D311" s="107"/>
      <c r="E311" s="107"/>
      <c r="F311" s="107"/>
      <c r="G311" s="108"/>
    </row>
    <row r="312">
      <c r="B312" s="106"/>
      <c r="C312" s="107"/>
      <c r="D312" s="107"/>
      <c r="E312" s="107"/>
      <c r="F312" s="107"/>
      <c r="G312" s="108"/>
    </row>
    <row r="313">
      <c r="B313" s="106"/>
      <c r="C313" s="107"/>
      <c r="D313" s="107"/>
      <c r="E313" s="107"/>
      <c r="F313" s="107"/>
      <c r="G313" s="108"/>
    </row>
    <row r="314">
      <c r="B314" s="106"/>
      <c r="C314" s="107"/>
      <c r="D314" s="107"/>
      <c r="E314" s="107"/>
      <c r="F314" s="107"/>
      <c r="G314" s="108"/>
    </row>
    <row r="315">
      <c r="B315" s="106"/>
      <c r="C315" s="107"/>
      <c r="D315" s="107"/>
      <c r="E315" s="107"/>
      <c r="F315" s="107"/>
      <c r="G315" s="108"/>
    </row>
    <row r="316">
      <c r="B316" s="106"/>
      <c r="C316" s="107"/>
      <c r="D316" s="107"/>
      <c r="E316" s="107"/>
      <c r="F316" s="107"/>
      <c r="G316" s="108"/>
    </row>
    <row r="317">
      <c r="B317" s="106"/>
      <c r="C317" s="107"/>
      <c r="D317" s="107"/>
      <c r="E317" s="107"/>
      <c r="F317" s="107"/>
      <c r="G317" s="108"/>
    </row>
    <row r="318">
      <c r="B318" s="106"/>
      <c r="C318" s="107"/>
      <c r="D318" s="107"/>
      <c r="E318" s="107"/>
      <c r="F318" s="107"/>
      <c r="G318" s="108"/>
    </row>
    <row r="319">
      <c r="B319" s="106"/>
      <c r="C319" s="107"/>
      <c r="D319" s="107"/>
      <c r="E319" s="107"/>
      <c r="F319" s="107"/>
      <c r="G319" s="108"/>
    </row>
    <row r="320">
      <c r="B320" s="106"/>
      <c r="C320" s="107"/>
      <c r="D320" s="107"/>
      <c r="E320" s="107"/>
      <c r="F320" s="107"/>
      <c r="G320" s="108"/>
    </row>
    <row r="321">
      <c r="B321" s="106"/>
      <c r="C321" s="107"/>
      <c r="D321" s="107"/>
      <c r="E321" s="107"/>
      <c r="F321" s="107"/>
      <c r="G321" s="108"/>
    </row>
    <row r="322">
      <c r="B322" s="106"/>
      <c r="C322" s="107"/>
      <c r="D322" s="107"/>
      <c r="E322" s="107"/>
      <c r="F322" s="107"/>
      <c r="G322" s="108"/>
    </row>
    <row r="323">
      <c r="B323" s="106"/>
      <c r="C323" s="107"/>
      <c r="D323" s="107"/>
      <c r="E323" s="107"/>
      <c r="F323" s="107"/>
      <c r="G323" s="108"/>
    </row>
    <row r="324">
      <c r="B324" s="106"/>
      <c r="C324" s="107"/>
      <c r="D324" s="107"/>
      <c r="E324" s="107"/>
      <c r="F324" s="107"/>
      <c r="G324" s="108"/>
    </row>
    <row r="325">
      <c r="B325" s="106"/>
      <c r="C325" s="107"/>
      <c r="D325" s="107"/>
      <c r="E325" s="107"/>
      <c r="F325" s="107"/>
      <c r="G325" s="108"/>
    </row>
    <row r="326">
      <c r="B326" s="106"/>
      <c r="C326" s="107"/>
      <c r="D326" s="107"/>
      <c r="E326" s="107"/>
      <c r="F326" s="107"/>
      <c r="G326" s="108"/>
    </row>
    <row r="327">
      <c r="B327" s="106"/>
      <c r="C327" s="107"/>
      <c r="D327" s="107"/>
      <c r="E327" s="107"/>
      <c r="F327" s="107"/>
      <c r="G327" s="108"/>
    </row>
    <row r="328">
      <c r="B328" s="106"/>
      <c r="C328" s="107"/>
      <c r="D328" s="107"/>
      <c r="E328" s="107"/>
      <c r="F328" s="107"/>
      <c r="G328" s="108"/>
    </row>
    <row r="329">
      <c r="B329" s="106"/>
      <c r="C329" s="107"/>
      <c r="D329" s="107"/>
      <c r="E329" s="107"/>
      <c r="F329" s="107"/>
      <c r="G329" s="108"/>
    </row>
    <row r="330">
      <c r="B330" s="106"/>
      <c r="C330" s="107"/>
      <c r="D330" s="107"/>
      <c r="E330" s="107"/>
      <c r="F330" s="107"/>
      <c r="G330" s="108"/>
    </row>
    <row r="331">
      <c r="B331" s="106"/>
      <c r="C331" s="107"/>
      <c r="D331" s="107"/>
      <c r="E331" s="107"/>
      <c r="F331" s="107"/>
      <c r="G331" s="108"/>
    </row>
    <row r="332">
      <c r="B332" s="106"/>
      <c r="C332" s="107"/>
      <c r="D332" s="107"/>
      <c r="E332" s="107"/>
      <c r="F332" s="107"/>
      <c r="G332" s="108"/>
    </row>
    <row r="333">
      <c r="B333" s="106"/>
      <c r="C333" s="107"/>
      <c r="D333" s="107"/>
      <c r="E333" s="107"/>
      <c r="F333" s="107"/>
      <c r="G333" s="108"/>
    </row>
    <row r="334">
      <c r="B334" s="106"/>
      <c r="C334" s="107"/>
      <c r="D334" s="107"/>
      <c r="E334" s="107"/>
      <c r="F334" s="107"/>
      <c r="G334" s="108"/>
    </row>
    <row r="335">
      <c r="B335" s="106"/>
      <c r="C335" s="107"/>
      <c r="D335" s="107"/>
      <c r="E335" s="107"/>
      <c r="F335" s="107"/>
      <c r="G335" s="108"/>
    </row>
    <row r="336">
      <c r="B336" s="106"/>
      <c r="C336" s="107"/>
      <c r="D336" s="107"/>
      <c r="E336" s="107"/>
      <c r="F336" s="107"/>
      <c r="G336" s="108"/>
    </row>
    <row r="337">
      <c r="B337" s="106"/>
      <c r="C337" s="107"/>
      <c r="D337" s="107"/>
      <c r="E337" s="107"/>
      <c r="F337" s="107"/>
      <c r="G337" s="108"/>
    </row>
    <row r="338">
      <c r="B338" s="106"/>
      <c r="C338" s="107"/>
      <c r="D338" s="107"/>
      <c r="E338" s="107"/>
      <c r="F338" s="107"/>
      <c r="G338" s="108"/>
    </row>
    <row r="339">
      <c r="B339" s="106"/>
      <c r="C339" s="107"/>
      <c r="D339" s="107"/>
      <c r="E339" s="107"/>
      <c r="F339" s="107"/>
      <c r="G339" s="108"/>
    </row>
    <row r="340">
      <c r="B340" s="106"/>
      <c r="C340" s="107"/>
      <c r="D340" s="107"/>
      <c r="E340" s="107"/>
      <c r="F340" s="107"/>
      <c r="G340" s="108"/>
    </row>
    <row r="341">
      <c r="B341" s="106"/>
      <c r="C341" s="107"/>
      <c r="D341" s="107"/>
      <c r="E341" s="107"/>
      <c r="F341" s="107"/>
      <c r="G341" s="108"/>
    </row>
    <row r="342">
      <c r="B342" s="106"/>
      <c r="C342" s="107"/>
      <c r="D342" s="107"/>
      <c r="E342" s="107"/>
      <c r="F342" s="107"/>
      <c r="G342" s="108"/>
    </row>
    <row r="343">
      <c r="B343" s="106"/>
      <c r="C343" s="107"/>
      <c r="D343" s="107"/>
      <c r="E343" s="107"/>
      <c r="F343" s="107"/>
      <c r="G343" s="108"/>
    </row>
    <row r="344">
      <c r="B344" s="106"/>
      <c r="C344" s="107"/>
      <c r="D344" s="107"/>
      <c r="E344" s="107"/>
      <c r="F344" s="107"/>
      <c r="G344" s="108"/>
    </row>
    <row r="345">
      <c r="B345" s="106"/>
      <c r="C345" s="107"/>
      <c r="D345" s="107"/>
      <c r="E345" s="107"/>
      <c r="F345" s="107"/>
      <c r="G345" s="108"/>
    </row>
    <row r="346">
      <c r="B346" s="106"/>
      <c r="C346" s="107"/>
      <c r="D346" s="107"/>
      <c r="E346" s="107"/>
      <c r="F346" s="107"/>
      <c r="G346" s="108"/>
    </row>
    <row r="347">
      <c r="B347" s="106"/>
      <c r="C347" s="107"/>
      <c r="D347" s="107"/>
      <c r="E347" s="107"/>
      <c r="F347" s="107"/>
      <c r="G347" s="108"/>
    </row>
    <row r="348">
      <c r="B348" s="106"/>
      <c r="C348" s="107"/>
      <c r="D348" s="107"/>
      <c r="E348" s="107"/>
      <c r="F348" s="107"/>
      <c r="G348" s="108"/>
    </row>
    <row r="349">
      <c r="B349" s="106"/>
      <c r="C349" s="107"/>
      <c r="D349" s="107"/>
      <c r="E349" s="107"/>
      <c r="F349" s="107"/>
      <c r="G349" s="108"/>
    </row>
    <row r="350">
      <c r="B350" s="106"/>
      <c r="C350" s="107"/>
      <c r="D350" s="107"/>
      <c r="E350" s="107"/>
      <c r="F350" s="107"/>
      <c r="G350" s="108"/>
    </row>
    <row r="351">
      <c r="B351" s="106"/>
      <c r="C351" s="107"/>
      <c r="D351" s="107"/>
      <c r="E351" s="107"/>
      <c r="F351" s="107"/>
      <c r="G351" s="108"/>
    </row>
    <row r="352">
      <c r="B352" s="106"/>
      <c r="C352" s="107"/>
      <c r="D352" s="107"/>
      <c r="E352" s="107"/>
      <c r="F352" s="107"/>
      <c r="G352" s="108"/>
    </row>
    <row r="353">
      <c r="B353" s="106"/>
      <c r="C353" s="107"/>
      <c r="D353" s="107"/>
      <c r="E353" s="107"/>
      <c r="F353" s="107"/>
      <c r="G353" s="108"/>
    </row>
    <row r="354">
      <c r="B354" s="106"/>
      <c r="C354" s="107"/>
      <c r="D354" s="107"/>
      <c r="E354" s="107"/>
      <c r="F354" s="107"/>
      <c r="G354" s="108"/>
    </row>
    <row r="355">
      <c r="B355" s="106"/>
      <c r="C355" s="107"/>
      <c r="D355" s="107"/>
      <c r="E355" s="107"/>
      <c r="F355" s="107"/>
      <c r="G355" s="108"/>
    </row>
    <row r="356">
      <c r="B356" s="106"/>
      <c r="C356" s="107"/>
      <c r="D356" s="107"/>
      <c r="E356" s="107"/>
      <c r="F356" s="107"/>
      <c r="G356" s="108"/>
    </row>
    <row r="357">
      <c r="B357" s="106"/>
      <c r="C357" s="107"/>
      <c r="D357" s="107"/>
      <c r="E357" s="107"/>
      <c r="F357" s="107"/>
      <c r="G357" s="108"/>
    </row>
    <row r="358">
      <c r="B358" s="106"/>
      <c r="C358" s="107"/>
      <c r="D358" s="107"/>
      <c r="E358" s="107"/>
      <c r="F358" s="107"/>
      <c r="G358" s="108"/>
    </row>
    <row r="359">
      <c r="B359" s="106"/>
      <c r="C359" s="107"/>
      <c r="D359" s="107"/>
      <c r="E359" s="107"/>
      <c r="F359" s="107"/>
      <c r="G359" s="108"/>
    </row>
    <row r="360">
      <c r="B360" s="106"/>
      <c r="C360" s="107"/>
      <c r="D360" s="107"/>
      <c r="E360" s="107"/>
      <c r="F360" s="107"/>
      <c r="G360" s="108"/>
    </row>
    <row r="361">
      <c r="B361" s="106"/>
      <c r="C361" s="107"/>
      <c r="D361" s="107"/>
      <c r="E361" s="107"/>
      <c r="F361" s="107"/>
      <c r="G361" s="108"/>
    </row>
    <row r="362">
      <c r="B362" s="106"/>
      <c r="C362" s="107"/>
      <c r="D362" s="107"/>
      <c r="E362" s="107"/>
      <c r="F362" s="107"/>
      <c r="G362" s="108"/>
    </row>
    <row r="363">
      <c r="B363" s="106"/>
      <c r="C363" s="107"/>
      <c r="D363" s="107"/>
      <c r="E363" s="107"/>
      <c r="F363" s="107"/>
      <c r="G363" s="108"/>
    </row>
    <row r="364">
      <c r="B364" s="106"/>
      <c r="C364" s="107"/>
      <c r="D364" s="107"/>
      <c r="E364" s="107"/>
      <c r="F364" s="107"/>
      <c r="G364" s="108"/>
    </row>
    <row r="365">
      <c r="B365" s="106"/>
      <c r="C365" s="107"/>
      <c r="D365" s="107"/>
      <c r="E365" s="107"/>
      <c r="F365" s="107"/>
      <c r="G365" s="108"/>
    </row>
    <row r="366">
      <c r="B366" s="106"/>
      <c r="C366" s="107"/>
      <c r="D366" s="107"/>
      <c r="E366" s="107"/>
      <c r="F366" s="107"/>
      <c r="G366" s="108"/>
    </row>
    <row r="367">
      <c r="B367" s="106"/>
      <c r="C367" s="107"/>
      <c r="D367" s="107"/>
      <c r="E367" s="107"/>
      <c r="F367" s="107"/>
      <c r="G367" s="108"/>
    </row>
    <row r="368">
      <c r="B368" s="106"/>
      <c r="C368" s="107"/>
      <c r="D368" s="107"/>
      <c r="E368" s="107"/>
      <c r="F368" s="107"/>
      <c r="G368" s="108"/>
    </row>
    <row r="369">
      <c r="B369" s="106"/>
      <c r="C369" s="107"/>
      <c r="D369" s="107"/>
      <c r="E369" s="107"/>
      <c r="F369" s="107"/>
      <c r="G369" s="108"/>
    </row>
    <row r="370">
      <c r="B370" s="106"/>
      <c r="C370" s="107"/>
      <c r="D370" s="107"/>
      <c r="E370" s="107"/>
      <c r="F370" s="107"/>
      <c r="G370" s="108"/>
    </row>
    <row r="371">
      <c r="B371" s="106"/>
      <c r="C371" s="107"/>
      <c r="D371" s="107"/>
      <c r="E371" s="107"/>
      <c r="F371" s="107"/>
      <c r="G371" s="108"/>
    </row>
    <row r="372">
      <c r="B372" s="106"/>
      <c r="C372" s="107"/>
      <c r="D372" s="107"/>
      <c r="E372" s="107"/>
      <c r="F372" s="107"/>
      <c r="G372" s="108"/>
    </row>
    <row r="373">
      <c r="B373" s="106"/>
      <c r="C373" s="107"/>
      <c r="D373" s="107"/>
      <c r="E373" s="107"/>
      <c r="F373" s="107"/>
      <c r="G373" s="108"/>
    </row>
    <row r="374">
      <c r="B374" s="106"/>
      <c r="C374" s="107"/>
      <c r="D374" s="107"/>
      <c r="E374" s="107"/>
      <c r="F374" s="107"/>
      <c r="G374" s="108"/>
    </row>
    <row r="375">
      <c r="B375" s="106"/>
      <c r="C375" s="107"/>
      <c r="D375" s="107"/>
      <c r="E375" s="107"/>
      <c r="F375" s="107"/>
      <c r="G375" s="108"/>
    </row>
    <row r="376">
      <c r="B376" s="106"/>
      <c r="C376" s="107"/>
      <c r="D376" s="107"/>
      <c r="E376" s="107"/>
      <c r="F376" s="107"/>
      <c r="G376" s="108"/>
    </row>
    <row r="377">
      <c r="B377" s="106"/>
      <c r="C377" s="107"/>
      <c r="D377" s="107"/>
      <c r="E377" s="107"/>
      <c r="F377" s="107"/>
      <c r="G377" s="108"/>
    </row>
    <row r="378">
      <c r="B378" s="106"/>
      <c r="C378" s="107"/>
      <c r="D378" s="107"/>
      <c r="E378" s="107"/>
      <c r="F378" s="107"/>
      <c r="G378" s="108"/>
    </row>
    <row r="379">
      <c r="B379" s="106"/>
      <c r="C379" s="107"/>
      <c r="D379" s="107"/>
      <c r="E379" s="107"/>
      <c r="F379" s="107"/>
      <c r="G379" s="108"/>
    </row>
    <row r="380">
      <c r="B380" s="106"/>
      <c r="C380" s="107"/>
      <c r="D380" s="107"/>
      <c r="E380" s="107"/>
      <c r="F380" s="107"/>
      <c r="G380" s="108"/>
    </row>
    <row r="381">
      <c r="B381" s="106"/>
      <c r="C381" s="107"/>
      <c r="D381" s="107"/>
      <c r="E381" s="107"/>
      <c r="F381" s="107"/>
      <c r="G381" s="108"/>
    </row>
    <row r="382">
      <c r="B382" s="106"/>
      <c r="C382" s="107"/>
      <c r="D382" s="107"/>
      <c r="E382" s="107"/>
      <c r="F382" s="107"/>
      <c r="G382" s="108"/>
    </row>
    <row r="383">
      <c r="B383" s="106"/>
      <c r="C383" s="107"/>
      <c r="D383" s="107"/>
      <c r="E383" s="107"/>
      <c r="F383" s="107"/>
      <c r="G383" s="108"/>
    </row>
    <row r="384">
      <c r="B384" s="106"/>
      <c r="C384" s="107"/>
      <c r="D384" s="107"/>
      <c r="E384" s="107"/>
      <c r="F384" s="107"/>
      <c r="G384" s="108"/>
    </row>
    <row r="385">
      <c r="B385" s="106"/>
      <c r="C385" s="107"/>
      <c r="D385" s="107"/>
      <c r="E385" s="107"/>
      <c r="F385" s="107"/>
      <c r="G385" s="108"/>
    </row>
    <row r="386">
      <c r="B386" s="106"/>
      <c r="C386" s="107"/>
      <c r="D386" s="107"/>
      <c r="E386" s="107"/>
      <c r="F386" s="107"/>
      <c r="G386" s="108"/>
    </row>
    <row r="387">
      <c r="B387" s="106"/>
      <c r="C387" s="107"/>
      <c r="D387" s="107"/>
      <c r="E387" s="107"/>
      <c r="F387" s="107"/>
      <c r="G387" s="108"/>
    </row>
    <row r="388">
      <c r="B388" s="106"/>
      <c r="C388" s="107"/>
      <c r="D388" s="107"/>
      <c r="E388" s="107"/>
      <c r="F388" s="107"/>
      <c r="G388" s="108"/>
    </row>
    <row r="389">
      <c r="B389" s="106"/>
      <c r="C389" s="107"/>
      <c r="D389" s="107"/>
      <c r="E389" s="107"/>
      <c r="F389" s="107"/>
      <c r="G389" s="108"/>
    </row>
    <row r="390">
      <c r="B390" s="106"/>
      <c r="C390" s="107"/>
      <c r="D390" s="107"/>
      <c r="E390" s="107"/>
      <c r="F390" s="107"/>
      <c r="G390" s="108"/>
    </row>
    <row r="391">
      <c r="B391" s="106"/>
      <c r="C391" s="107"/>
      <c r="D391" s="107"/>
      <c r="E391" s="107"/>
      <c r="F391" s="107"/>
      <c r="G391" s="108"/>
    </row>
    <row r="392">
      <c r="B392" s="106"/>
      <c r="C392" s="107"/>
      <c r="D392" s="107"/>
      <c r="E392" s="107"/>
      <c r="F392" s="107"/>
      <c r="G392" s="108"/>
    </row>
    <row r="393">
      <c r="B393" s="106"/>
      <c r="C393" s="107"/>
      <c r="D393" s="107"/>
      <c r="E393" s="107"/>
      <c r="F393" s="107"/>
      <c r="G393" s="108"/>
    </row>
    <row r="394">
      <c r="B394" s="106"/>
      <c r="C394" s="107"/>
      <c r="D394" s="107"/>
      <c r="E394" s="107"/>
      <c r="F394" s="107"/>
      <c r="G394" s="108"/>
    </row>
    <row r="395">
      <c r="B395" s="106"/>
      <c r="C395" s="107"/>
      <c r="D395" s="107"/>
      <c r="E395" s="107"/>
      <c r="F395" s="107"/>
      <c r="G395" s="108"/>
    </row>
    <row r="396">
      <c r="B396" s="106"/>
      <c r="C396" s="107"/>
      <c r="D396" s="107"/>
      <c r="E396" s="107"/>
      <c r="F396" s="107"/>
      <c r="G396" s="108"/>
    </row>
    <row r="397">
      <c r="B397" s="106"/>
      <c r="C397" s="107"/>
      <c r="D397" s="107"/>
      <c r="E397" s="107"/>
      <c r="F397" s="107"/>
      <c r="G397" s="108"/>
    </row>
    <row r="398">
      <c r="B398" s="106"/>
      <c r="C398" s="107"/>
      <c r="D398" s="107"/>
      <c r="E398" s="107"/>
      <c r="F398" s="107"/>
      <c r="G398" s="108"/>
    </row>
    <row r="399">
      <c r="B399" s="106"/>
      <c r="C399" s="107"/>
      <c r="D399" s="107"/>
      <c r="E399" s="107"/>
      <c r="F399" s="107"/>
      <c r="G399" s="108"/>
    </row>
    <row r="400">
      <c r="B400" s="106"/>
      <c r="C400" s="107"/>
      <c r="D400" s="107"/>
      <c r="E400" s="107"/>
      <c r="F400" s="107"/>
      <c r="G400" s="108"/>
    </row>
    <row r="401">
      <c r="B401" s="106"/>
      <c r="C401" s="107"/>
      <c r="D401" s="107"/>
      <c r="E401" s="107"/>
      <c r="F401" s="107"/>
      <c r="G401" s="108"/>
    </row>
    <row r="402">
      <c r="B402" s="106"/>
      <c r="C402" s="107"/>
      <c r="D402" s="107"/>
      <c r="E402" s="107"/>
      <c r="F402" s="107"/>
      <c r="G402" s="108"/>
    </row>
    <row r="403">
      <c r="B403" s="106"/>
      <c r="C403" s="107"/>
      <c r="D403" s="107"/>
      <c r="E403" s="107"/>
      <c r="F403" s="107"/>
      <c r="G403" s="108"/>
    </row>
    <row r="404">
      <c r="B404" s="106"/>
      <c r="C404" s="107"/>
      <c r="D404" s="107"/>
      <c r="E404" s="107"/>
      <c r="F404" s="107"/>
      <c r="G404" s="108"/>
    </row>
    <row r="405">
      <c r="B405" s="106"/>
      <c r="C405" s="107"/>
      <c r="D405" s="107"/>
      <c r="E405" s="107"/>
      <c r="F405" s="107"/>
      <c r="G405" s="108"/>
    </row>
    <row r="406">
      <c r="B406" s="106"/>
      <c r="C406" s="107"/>
      <c r="D406" s="107"/>
      <c r="E406" s="107"/>
      <c r="F406" s="107"/>
      <c r="G406" s="108"/>
    </row>
    <row r="407">
      <c r="B407" s="106"/>
      <c r="C407" s="107"/>
      <c r="D407" s="107"/>
      <c r="E407" s="107"/>
      <c r="F407" s="107"/>
      <c r="G407" s="108"/>
    </row>
    <row r="408">
      <c r="B408" s="106"/>
      <c r="C408" s="107"/>
      <c r="D408" s="107"/>
      <c r="E408" s="107"/>
      <c r="F408" s="107"/>
      <c r="G408" s="108"/>
    </row>
    <row r="409">
      <c r="B409" s="106"/>
      <c r="C409" s="107"/>
      <c r="D409" s="107"/>
      <c r="E409" s="107"/>
      <c r="F409" s="107"/>
      <c r="G409" s="108"/>
    </row>
    <row r="410">
      <c r="B410" s="106"/>
      <c r="C410" s="107"/>
      <c r="D410" s="107"/>
      <c r="E410" s="107"/>
      <c r="F410" s="107"/>
      <c r="G410" s="108"/>
    </row>
    <row r="411">
      <c r="B411" s="106"/>
      <c r="C411" s="107"/>
      <c r="D411" s="107"/>
      <c r="E411" s="107"/>
      <c r="F411" s="107"/>
      <c r="G411" s="108"/>
    </row>
    <row r="412">
      <c r="B412" s="106"/>
      <c r="C412" s="107"/>
      <c r="D412" s="107"/>
      <c r="E412" s="107"/>
      <c r="F412" s="107"/>
      <c r="G412" s="108"/>
    </row>
    <row r="413">
      <c r="B413" s="106"/>
      <c r="C413" s="107"/>
      <c r="D413" s="107"/>
      <c r="E413" s="107"/>
      <c r="F413" s="107"/>
      <c r="G413" s="108"/>
    </row>
    <row r="414">
      <c r="B414" s="106"/>
      <c r="C414" s="107"/>
      <c r="D414" s="107"/>
      <c r="E414" s="107"/>
      <c r="F414" s="107"/>
      <c r="G414" s="108"/>
    </row>
    <row r="415">
      <c r="B415" s="106"/>
      <c r="C415" s="107"/>
      <c r="D415" s="107"/>
      <c r="E415" s="107"/>
      <c r="F415" s="107"/>
      <c r="G415" s="108"/>
    </row>
    <row r="416">
      <c r="B416" s="106"/>
      <c r="C416" s="107"/>
      <c r="D416" s="107"/>
      <c r="E416" s="107"/>
      <c r="F416" s="107"/>
      <c r="G416" s="108"/>
    </row>
    <row r="417">
      <c r="B417" s="106"/>
      <c r="C417" s="107"/>
      <c r="D417" s="107"/>
      <c r="E417" s="107"/>
      <c r="F417" s="107"/>
      <c r="G417" s="108"/>
    </row>
    <row r="418">
      <c r="B418" s="106"/>
      <c r="C418" s="107"/>
      <c r="D418" s="107"/>
      <c r="E418" s="107"/>
      <c r="F418" s="107"/>
      <c r="G418" s="108"/>
    </row>
    <row r="419">
      <c r="B419" s="106"/>
      <c r="C419" s="107"/>
      <c r="D419" s="107"/>
      <c r="E419" s="107"/>
      <c r="F419" s="107"/>
      <c r="G419" s="108"/>
    </row>
    <row r="420">
      <c r="B420" s="106"/>
      <c r="C420" s="107"/>
      <c r="D420" s="107"/>
      <c r="E420" s="107"/>
      <c r="F420" s="107"/>
      <c r="G420" s="108"/>
    </row>
    <row r="421">
      <c r="B421" s="106"/>
      <c r="C421" s="107"/>
      <c r="D421" s="107"/>
      <c r="E421" s="107"/>
      <c r="F421" s="107"/>
      <c r="G421" s="108"/>
    </row>
    <row r="422">
      <c r="B422" s="106"/>
      <c r="C422" s="107"/>
      <c r="D422" s="107"/>
      <c r="E422" s="107"/>
      <c r="F422" s="107"/>
      <c r="G422" s="108"/>
    </row>
    <row r="423">
      <c r="B423" s="106"/>
      <c r="C423" s="107"/>
      <c r="D423" s="107"/>
      <c r="E423" s="107"/>
      <c r="F423" s="107"/>
      <c r="G423" s="108"/>
    </row>
    <row r="424">
      <c r="B424" s="106"/>
      <c r="C424" s="107"/>
      <c r="D424" s="107"/>
      <c r="E424" s="107"/>
      <c r="F424" s="107"/>
      <c r="G424" s="108"/>
    </row>
    <row r="425">
      <c r="B425" s="106"/>
      <c r="C425" s="107"/>
      <c r="D425" s="107"/>
      <c r="E425" s="107"/>
      <c r="F425" s="107"/>
      <c r="G425" s="108"/>
    </row>
    <row r="426">
      <c r="B426" s="106"/>
      <c r="C426" s="107"/>
      <c r="D426" s="107"/>
      <c r="E426" s="107"/>
      <c r="F426" s="107"/>
      <c r="G426" s="108"/>
    </row>
    <row r="427">
      <c r="B427" s="106"/>
      <c r="C427" s="107"/>
      <c r="D427" s="107"/>
      <c r="E427" s="107"/>
      <c r="F427" s="107"/>
      <c r="G427" s="108"/>
    </row>
    <row r="428">
      <c r="B428" s="106"/>
      <c r="C428" s="107"/>
      <c r="D428" s="107"/>
      <c r="E428" s="107"/>
      <c r="F428" s="107"/>
      <c r="G428" s="108"/>
    </row>
    <row r="429">
      <c r="B429" s="106"/>
      <c r="C429" s="107"/>
      <c r="D429" s="107"/>
      <c r="E429" s="107"/>
      <c r="F429" s="107"/>
      <c r="G429" s="108"/>
    </row>
    <row r="430">
      <c r="B430" s="106"/>
      <c r="C430" s="107"/>
      <c r="D430" s="107"/>
      <c r="E430" s="107"/>
      <c r="F430" s="107"/>
      <c r="G430" s="108"/>
    </row>
    <row r="431">
      <c r="B431" s="106"/>
      <c r="C431" s="107"/>
      <c r="D431" s="107"/>
      <c r="E431" s="107"/>
      <c r="F431" s="107"/>
      <c r="G431" s="108"/>
    </row>
    <row r="432">
      <c r="B432" s="106"/>
      <c r="C432" s="107"/>
      <c r="D432" s="107"/>
      <c r="E432" s="107"/>
      <c r="F432" s="107"/>
      <c r="G432" s="108"/>
    </row>
    <row r="433">
      <c r="B433" s="106"/>
      <c r="C433" s="107"/>
      <c r="D433" s="107"/>
      <c r="E433" s="107"/>
      <c r="F433" s="107"/>
      <c r="G433" s="108"/>
    </row>
    <row r="434">
      <c r="B434" s="106"/>
      <c r="C434" s="107"/>
      <c r="D434" s="107"/>
      <c r="E434" s="107"/>
      <c r="F434" s="107"/>
      <c r="G434" s="108"/>
    </row>
    <row r="435">
      <c r="B435" s="106"/>
      <c r="C435" s="107"/>
      <c r="D435" s="107"/>
      <c r="E435" s="107"/>
      <c r="F435" s="107"/>
      <c r="G435" s="108"/>
    </row>
    <row r="436">
      <c r="B436" s="106"/>
      <c r="C436" s="107"/>
      <c r="D436" s="107"/>
      <c r="E436" s="107"/>
      <c r="F436" s="107"/>
      <c r="G436" s="108"/>
    </row>
    <row r="437">
      <c r="B437" s="106"/>
      <c r="C437" s="107"/>
      <c r="D437" s="107"/>
      <c r="E437" s="107"/>
      <c r="F437" s="107"/>
      <c r="G437" s="108"/>
    </row>
    <row r="438">
      <c r="B438" s="106"/>
      <c r="C438" s="107"/>
      <c r="D438" s="107"/>
      <c r="E438" s="107"/>
      <c r="F438" s="107"/>
      <c r="G438" s="108"/>
    </row>
    <row r="439">
      <c r="B439" s="106"/>
      <c r="C439" s="107"/>
      <c r="D439" s="107"/>
      <c r="E439" s="107"/>
      <c r="F439" s="107"/>
      <c r="G439" s="108"/>
    </row>
    <row r="440">
      <c r="B440" s="106"/>
      <c r="C440" s="107"/>
      <c r="D440" s="107"/>
      <c r="E440" s="107"/>
      <c r="F440" s="107"/>
      <c r="G440" s="108"/>
    </row>
    <row r="441">
      <c r="B441" s="106"/>
      <c r="C441" s="107"/>
      <c r="D441" s="107"/>
      <c r="E441" s="107"/>
      <c r="F441" s="107"/>
      <c r="G441" s="108"/>
    </row>
    <row r="442">
      <c r="B442" s="106"/>
      <c r="C442" s="107"/>
      <c r="D442" s="107"/>
      <c r="E442" s="107"/>
      <c r="F442" s="107"/>
      <c r="G442" s="108"/>
    </row>
    <row r="443">
      <c r="B443" s="106"/>
      <c r="C443" s="107"/>
      <c r="D443" s="107"/>
      <c r="E443" s="107"/>
      <c r="F443" s="107"/>
      <c r="G443" s="108"/>
    </row>
    <row r="444">
      <c r="B444" s="106"/>
      <c r="C444" s="107"/>
      <c r="D444" s="107"/>
      <c r="E444" s="107"/>
      <c r="F444" s="107"/>
      <c r="G444" s="108"/>
    </row>
    <row r="445">
      <c r="B445" s="106"/>
      <c r="C445" s="107"/>
      <c r="D445" s="107"/>
      <c r="E445" s="107"/>
      <c r="F445" s="107"/>
      <c r="G445" s="108"/>
    </row>
    <row r="446">
      <c r="B446" s="106"/>
      <c r="C446" s="107"/>
      <c r="D446" s="107"/>
      <c r="E446" s="107"/>
      <c r="F446" s="107"/>
      <c r="G446" s="108"/>
    </row>
    <row r="447">
      <c r="B447" s="106"/>
      <c r="C447" s="107"/>
      <c r="D447" s="107"/>
      <c r="E447" s="107"/>
      <c r="F447" s="107"/>
      <c r="G447" s="108"/>
    </row>
    <row r="448">
      <c r="B448" s="106"/>
      <c r="C448" s="107"/>
      <c r="D448" s="107"/>
      <c r="E448" s="107"/>
      <c r="F448" s="107"/>
      <c r="G448" s="108"/>
    </row>
    <row r="449">
      <c r="B449" s="106"/>
      <c r="C449" s="107"/>
      <c r="D449" s="107"/>
      <c r="E449" s="107"/>
      <c r="F449" s="107"/>
      <c r="G449" s="108"/>
    </row>
    <row r="450">
      <c r="B450" s="106"/>
      <c r="C450" s="107"/>
      <c r="D450" s="107"/>
      <c r="E450" s="107"/>
      <c r="F450" s="107"/>
      <c r="G450" s="108"/>
    </row>
    <row r="451">
      <c r="B451" s="106"/>
      <c r="C451" s="107"/>
      <c r="D451" s="107"/>
      <c r="E451" s="107"/>
      <c r="F451" s="107"/>
      <c r="G451" s="108"/>
    </row>
    <row r="452">
      <c r="B452" s="106"/>
      <c r="C452" s="107"/>
      <c r="D452" s="107"/>
      <c r="E452" s="107"/>
      <c r="F452" s="107"/>
      <c r="G452" s="108"/>
    </row>
    <row r="453">
      <c r="B453" s="106"/>
      <c r="C453" s="107"/>
      <c r="D453" s="107"/>
      <c r="E453" s="107"/>
      <c r="F453" s="107"/>
      <c r="G453" s="108"/>
    </row>
    <row r="454">
      <c r="B454" s="106"/>
      <c r="C454" s="107"/>
      <c r="D454" s="107"/>
      <c r="E454" s="107"/>
      <c r="F454" s="107"/>
      <c r="G454" s="108"/>
    </row>
    <row r="455">
      <c r="B455" s="106"/>
      <c r="C455" s="107"/>
      <c r="D455" s="107"/>
      <c r="E455" s="107"/>
      <c r="F455" s="107"/>
      <c r="G455" s="108"/>
    </row>
    <row r="456">
      <c r="B456" s="106"/>
      <c r="C456" s="107"/>
      <c r="D456" s="107"/>
      <c r="E456" s="107"/>
      <c r="F456" s="107"/>
      <c r="G456" s="108"/>
    </row>
    <row r="457">
      <c r="B457" s="106"/>
      <c r="C457" s="107"/>
      <c r="D457" s="107"/>
      <c r="E457" s="107"/>
      <c r="F457" s="107"/>
      <c r="G457" s="108"/>
    </row>
    <row r="458">
      <c r="B458" s="106"/>
      <c r="C458" s="107"/>
      <c r="D458" s="107"/>
      <c r="E458" s="107"/>
      <c r="F458" s="107"/>
      <c r="G458" s="108"/>
    </row>
    <row r="459">
      <c r="B459" s="106"/>
      <c r="C459" s="107"/>
      <c r="D459" s="107"/>
      <c r="E459" s="107"/>
      <c r="F459" s="107"/>
      <c r="G459" s="108"/>
    </row>
    <row r="460">
      <c r="B460" s="106"/>
      <c r="C460" s="107"/>
      <c r="D460" s="107"/>
      <c r="E460" s="107"/>
      <c r="F460" s="107"/>
      <c r="G460" s="108"/>
    </row>
    <row r="461">
      <c r="B461" s="106"/>
      <c r="C461" s="107"/>
      <c r="D461" s="107"/>
      <c r="E461" s="107"/>
      <c r="F461" s="107"/>
      <c r="G461" s="108"/>
    </row>
    <row r="462">
      <c r="B462" s="106"/>
      <c r="C462" s="107"/>
      <c r="D462" s="107"/>
      <c r="E462" s="107"/>
      <c r="F462" s="107"/>
      <c r="G462" s="108"/>
    </row>
    <row r="463">
      <c r="B463" s="106"/>
      <c r="C463" s="107"/>
      <c r="D463" s="107"/>
      <c r="E463" s="107"/>
      <c r="F463" s="107"/>
      <c r="G463" s="108"/>
    </row>
    <row r="464">
      <c r="B464" s="106"/>
      <c r="C464" s="107"/>
      <c r="D464" s="107"/>
      <c r="E464" s="107"/>
      <c r="F464" s="107"/>
      <c r="G464" s="108"/>
    </row>
    <row r="465">
      <c r="B465" s="106"/>
      <c r="C465" s="107"/>
      <c r="D465" s="107"/>
      <c r="E465" s="107"/>
      <c r="F465" s="107"/>
      <c r="G465" s="108"/>
    </row>
    <row r="466">
      <c r="B466" s="106"/>
      <c r="C466" s="107"/>
      <c r="D466" s="107"/>
      <c r="E466" s="107"/>
      <c r="F466" s="107"/>
      <c r="G466" s="108"/>
    </row>
    <row r="467">
      <c r="B467" s="106"/>
      <c r="C467" s="107"/>
      <c r="D467" s="107"/>
      <c r="E467" s="107"/>
      <c r="F467" s="107"/>
      <c r="G467" s="108"/>
    </row>
    <row r="468">
      <c r="B468" s="106"/>
      <c r="C468" s="107"/>
      <c r="D468" s="107"/>
      <c r="E468" s="107"/>
      <c r="F468" s="107"/>
      <c r="G468" s="108"/>
    </row>
    <row r="469">
      <c r="B469" s="106"/>
      <c r="C469" s="107"/>
      <c r="D469" s="107"/>
      <c r="E469" s="107"/>
      <c r="F469" s="107"/>
      <c r="G469" s="108"/>
    </row>
    <row r="470">
      <c r="B470" s="106"/>
      <c r="C470" s="107"/>
      <c r="D470" s="107"/>
      <c r="E470" s="107"/>
      <c r="F470" s="107"/>
      <c r="G470" s="108"/>
    </row>
    <row r="471">
      <c r="B471" s="106"/>
      <c r="C471" s="107"/>
      <c r="D471" s="107"/>
      <c r="E471" s="107"/>
      <c r="F471" s="107"/>
      <c r="G471" s="108"/>
    </row>
    <row r="472">
      <c r="B472" s="106"/>
      <c r="C472" s="107"/>
      <c r="D472" s="107"/>
      <c r="E472" s="107"/>
      <c r="F472" s="107"/>
      <c r="G472" s="108"/>
    </row>
    <row r="473">
      <c r="B473" s="106"/>
      <c r="C473" s="107"/>
      <c r="D473" s="107"/>
      <c r="E473" s="107"/>
      <c r="F473" s="107"/>
      <c r="G473" s="108"/>
    </row>
    <row r="474">
      <c r="B474" s="106"/>
      <c r="C474" s="107"/>
      <c r="D474" s="107"/>
      <c r="E474" s="107"/>
      <c r="F474" s="107"/>
      <c r="G474" s="108"/>
    </row>
    <row r="475">
      <c r="B475" s="106"/>
      <c r="C475" s="107"/>
      <c r="D475" s="107"/>
      <c r="E475" s="107"/>
      <c r="F475" s="107"/>
      <c r="G475" s="108"/>
    </row>
    <row r="476">
      <c r="B476" s="106"/>
      <c r="C476" s="107"/>
      <c r="D476" s="107"/>
      <c r="E476" s="107"/>
      <c r="F476" s="107"/>
      <c r="G476" s="108"/>
    </row>
    <row r="477">
      <c r="B477" s="106"/>
      <c r="C477" s="107"/>
      <c r="D477" s="107"/>
      <c r="E477" s="107"/>
      <c r="F477" s="107"/>
      <c r="G477" s="108"/>
    </row>
    <row r="478">
      <c r="B478" s="106"/>
      <c r="C478" s="107"/>
      <c r="D478" s="107"/>
      <c r="E478" s="107"/>
      <c r="F478" s="107"/>
      <c r="G478" s="108"/>
    </row>
    <row r="479">
      <c r="B479" s="106"/>
      <c r="C479" s="107"/>
      <c r="D479" s="107"/>
      <c r="E479" s="107"/>
      <c r="F479" s="107"/>
      <c r="G479" s="108"/>
    </row>
    <row r="480">
      <c r="B480" s="106"/>
      <c r="C480" s="107"/>
      <c r="D480" s="107"/>
      <c r="E480" s="107"/>
      <c r="F480" s="107"/>
      <c r="G480" s="108"/>
    </row>
    <row r="481">
      <c r="B481" s="106"/>
      <c r="C481" s="107"/>
      <c r="D481" s="107"/>
      <c r="E481" s="107"/>
      <c r="F481" s="107"/>
      <c r="G481" s="108"/>
    </row>
    <row r="482">
      <c r="B482" s="106"/>
      <c r="C482" s="107"/>
      <c r="D482" s="107"/>
      <c r="E482" s="107"/>
      <c r="F482" s="107"/>
      <c r="G482" s="108"/>
    </row>
    <row r="483">
      <c r="B483" s="106"/>
      <c r="C483" s="107"/>
      <c r="D483" s="107"/>
      <c r="E483" s="107"/>
      <c r="F483" s="107"/>
      <c r="G483" s="108"/>
    </row>
    <row r="484">
      <c r="B484" s="106"/>
      <c r="C484" s="107"/>
      <c r="D484" s="107"/>
      <c r="E484" s="107"/>
      <c r="F484" s="107"/>
      <c r="G484" s="108"/>
    </row>
    <row r="485">
      <c r="B485" s="106"/>
      <c r="C485" s="107"/>
      <c r="D485" s="107"/>
      <c r="E485" s="107"/>
      <c r="F485" s="107"/>
      <c r="G485" s="108"/>
    </row>
    <row r="486">
      <c r="B486" s="106"/>
      <c r="C486" s="107"/>
      <c r="D486" s="107"/>
      <c r="E486" s="107"/>
      <c r="F486" s="107"/>
      <c r="G486" s="108"/>
    </row>
    <row r="487">
      <c r="B487" s="106"/>
      <c r="C487" s="107"/>
      <c r="D487" s="107"/>
      <c r="E487" s="107"/>
      <c r="F487" s="107"/>
      <c r="G487" s="108"/>
    </row>
    <row r="488">
      <c r="B488" s="106"/>
      <c r="C488" s="107"/>
      <c r="D488" s="107"/>
      <c r="E488" s="107"/>
      <c r="F488" s="107"/>
      <c r="G488" s="108"/>
    </row>
    <row r="489">
      <c r="B489" s="106"/>
      <c r="C489" s="107"/>
      <c r="D489" s="107"/>
      <c r="E489" s="107"/>
      <c r="F489" s="107"/>
      <c r="G489" s="108"/>
    </row>
    <row r="490">
      <c r="B490" s="106"/>
      <c r="C490" s="107"/>
      <c r="D490" s="107"/>
      <c r="E490" s="107"/>
      <c r="F490" s="107"/>
      <c r="G490" s="108"/>
    </row>
    <row r="491">
      <c r="B491" s="106"/>
      <c r="C491" s="107"/>
      <c r="D491" s="107"/>
      <c r="E491" s="107"/>
      <c r="F491" s="107"/>
      <c r="G491" s="108"/>
    </row>
    <row r="492">
      <c r="B492" s="106"/>
      <c r="C492" s="107"/>
      <c r="D492" s="107"/>
      <c r="E492" s="107"/>
      <c r="F492" s="107"/>
      <c r="G492" s="108"/>
    </row>
    <row r="493">
      <c r="B493" s="106"/>
      <c r="C493" s="107"/>
      <c r="D493" s="107"/>
      <c r="E493" s="107"/>
      <c r="F493" s="107"/>
      <c r="G493" s="108"/>
    </row>
    <row r="494">
      <c r="B494" s="106"/>
      <c r="C494" s="107"/>
      <c r="D494" s="107"/>
      <c r="E494" s="107"/>
      <c r="F494" s="107"/>
      <c r="G494" s="108"/>
    </row>
    <row r="495">
      <c r="B495" s="106"/>
      <c r="C495" s="107"/>
      <c r="D495" s="107"/>
      <c r="E495" s="107"/>
      <c r="F495" s="107"/>
      <c r="G495" s="108"/>
    </row>
    <row r="496">
      <c r="B496" s="106"/>
      <c r="C496" s="107"/>
      <c r="D496" s="107"/>
      <c r="E496" s="107"/>
      <c r="F496" s="107"/>
      <c r="G496" s="108"/>
    </row>
    <row r="497">
      <c r="B497" s="106"/>
      <c r="C497" s="107"/>
      <c r="D497" s="107"/>
      <c r="E497" s="107"/>
      <c r="F497" s="107"/>
      <c r="G497" s="108"/>
    </row>
    <row r="498">
      <c r="B498" s="106"/>
      <c r="C498" s="107"/>
      <c r="D498" s="107"/>
      <c r="E498" s="107"/>
      <c r="F498" s="107"/>
      <c r="G498" s="108"/>
    </row>
    <row r="499">
      <c r="B499" s="106"/>
      <c r="C499" s="107"/>
      <c r="D499" s="107"/>
      <c r="E499" s="107"/>
      <c r="F499" s="107"/>
      <c r="G499" s="108"/>
    </row>
    <row r="500">
      <c r="B500" s="106"/>
      <c r="C500" s="107"/>
      <c r="D500" s="107"/>
      <c r="E500" s="107"/>
      <c r="F500" s="107"/>
      <c r="G500" s="108"/>
    </row>
    <row r="501">
      <c r="B501" s="106"/>
      <c r="C501" s="107"/>
      <c r="D501" s="107"/>
      <c r="E501" s="107"/>
      <c r="F501" s="107"/>
      <c r="G501" s="108"/>
    </row>
    <row r="502">
      <c r="B502" s="106"/>
      <c r="C502" s="107"/>
      <c r="D502" s="107"/>
      <c r="E502" s="107"/>
      <c r="F502" s="107"/>
      <c r="G502" s="108"/>
    </row>
    <row r="503">
      <c r="B503" s="106"/>
      <c r="C503" s="107"/>
      <c r="D503" s="107"/>
      <c r="E503" s="107"/>
      <c r="F503" s="107"/>
      <c r="G503" s="108"/>
    </row>
    <row r="504">
      <c r="B504" s="106"/>
      <c r="C504" s="107"/>
      <c r="D504" s="107"/>
      <c r="E504" s="107"/>
      <c r="F504" s="107"/>
      <c r="G504" s="108"/>
    </row>
    <row r="505">
      <c r="B505" s="106"/>
      <c r="C505" s="107"/>
      <c r="D505" s="107"/>
      <c r="E505" s="107"/>
      <c r="F505" s="107"/>
      <c r="G505" s="108"/>
    </row>
    <row r="506">
      <c r="B506" s="106"/>
      <c r="C506" s="107"/>
      <c r="D506" s="107"/>
      <c r="E506" s="107"/>
      <c r="F506" s="107"/>
      <c r="G506" s="108"/>
    </row>
    <row r="507">
      <c r="B507" s="106"/>
      <c r="C507" s="107"/>
      <c r="D507" s="107"/>
      <c r="E507" s="107"/>
      <c r="F507" s="107"/>
      <c r="G507" s="108"/>
    </row>
    <row r="508">
      <c r="B508" s="106"/>
      <c r="C508" s="107"/>
      <c r="D508" s="107"/>
      <c r="E508" s="107"/>
      <c r="F508" s="107"/>
      <c r="G508" s="108"/>
    </row>
    <row r="509">
      <c r="B509" s="106"/>
      <c r="C509" s="107"/>
      <c r="D509" s="107"/>
      <c r="E509" s="107"/>
      <c r="F509" s="107"/>
      <c r="G509" s="108"/>
    </row>
    <row r="510">
      <c r="B510" s="106"/>
      <c r="C510" s="107"/>
      <c r="D510" s="107"/>
      <c r="E510" s="107"/>
      <c r="F510" s="107"/>
      <c r="G510" s="108"/>
    </row>
    <row r="511">
      <c r="B511" s="106"/>
      <c r="C511" s="107"/>
      <c r="D511" s="107"/>
      <c r="E511" s="107"/>
      <c r="F511" s="107"/>
      <c r="G511" s="108"/>
    </row>
    <row r="512">
      <c r="B512" s="106"/>
      <c r="C512" s="107"/>
      <c r="D512" s="107"/>
      <c r="E512" s="107"/>
      <c r="F512" s="107"/>
      <c r="G512" s="108"/>
    </row>
    <row r="513">
      <c r="B513" s="106"/>
      <c r="C513" s="107"/>
      <c r="D513" s="107"/>
      <c r="E513" s="107"/>
      <c r="F513" s="107"/>
      <c r="G513" s="108"/>
    </row>
    <row r="514">
      <c r="B514" s="106"/>
      <c r="C514" s="107"/>
      <c r="D514" s="107"/>
      <c r="E514" s="107"/>
      <c r="F514" s="107"/>
      <c r="G514" s="108"/>
    </row>
    <row r="515">
      <c r="B515" s="106"/>
      <c r="C515" s="107"/>
      <c r="D515" s="107"/>
      <c r="E515" s="107"/>
      <c r="F515" s="107"/>
      <c r="G515" s="108"/>
    </row>
    <row r="516">
      <c r="B516" s="106"/>
      <c r="C516" s="107"/>
      <c r="D516" s="107"/>
      <c r="E516" s="107"/>
      <c r="F516" s="107"/>
      <c r="G516" s="108"/>
    </row>
    <row r="517">
      <c r="B517" s="106"/>
      <c r="C517" s="107"/>
      <c r="D517" s="107"/>
      <c r="E517" s="107"/>
      <c r="F517" s="107"/>
      <c r="G517" s="108"/>
    </row>
    <row r="518">
      <c r="B518" s="106"/>
      <c r="C518" s="107"/>
      <c r="D518" s="107"/>
      <c r="E518" s="107"/>
      <c r="F518" s="107"/>
      <c r="G518" s="108"/>
    </row>
    <row r="519">
      <c r="B519" s="106"/>
      <c r="C519" s="107"/>
      <c r="D519" s="107"/>
      <c r="E519" s="107"/>
      <c r="F519" s="107"/>
      <c r="G519" s="108"/>
    </row>
    <row r="520">
      <c r="B520" s="106"/>
      <c r="C520" s="107"/>
      <c r="D520" s="107"/>
      <c r="E520" s="107"/>
      <c r="F520" s="107"/>
      <c r="G520" s="108"/>
    </row>
    <row r="521">
      <c r="B521" s="106"/>
      <c r="C521" s="107"/>
      <c r="D521" s="107"/>
      <c r="E521" s="107"/>
      <c r="F521" s="107"/>
      <c r="G521" s="108"/>
    </row>
    <row r="522">
      <c r="B522" s="106"/>
      <c r="C522" s="107"/>
      <c r="D522" s="107"/>
      <c r="E522" s="107"/>
      <c r="F522" s="107"/>
      <c r="G522" s="108"/>
    </row>
    <row r="523">
      <c r="B523" s="106"/>
      <c r="C523" s="107"/>
      <c r="D523" s="107"/>
      <c r="E523" s="107"/>
      <c r="F523" s="107"/>
      <c r="G523" s="108"/>
    </row>
    <row r="524">
      <c r="B524" s="106"/>
      <c r="C524" s="107"/>
      <c r="D524" s="107"/>
      <c r="E524" s="107"/>
      <c r="F524" s="107"/>
      <c r="G524" s="108"/>
    </row>
    <row r="525">
      <c r="B525" s="106"/>
      <c r="C525" s="107"/>
      <c r="D525" s="107"/>
      <c r="E525" s="107"/>
      <c r="F525" s="107"/>
      <c r="G525" s="108"/>
    </row>
    <row r="526">
      <c r="B526" s="106"/>
      <c r="C526" s="107"/>
      <c r="D526" s="107"/>
      <c r="E526" s="107"/>
      <c r="F526" s="107"/>
      <c r="G526" s="108"/>
    </row>
    <row r="527">
      <c r="B527" s="106"/>
      <c r="C527" s="107"/>
      <c r="D527" s="107"/>
      <c r="E527" s="107"/>
      <c r="F527" s="107"/>
      <c r="G527" s="108"/>
    </row>
    <row r="528">
      <c r="B528" s="106"/>
      <c r="C528" s="107"/>
      <c r="D528" s="107"/>
      <c r="E528" s="107"/>
      <c r="F528" s="107"/>
      <c r="G528" s="108"/>
    </row>
    <row r="529">
      <c r="B529" s="106"/>
      <c r="C529" s="107"/>
      <c r="D529" s="107"/>
      <c r="E529" s="107"/>
      <c r="F529" s="107"/>
      <c r="G529" s="108"/>
    </row>
    <row r="530">
      <c r="B530" s="106"/>
      <c r="C530" s="107"/>
      <c r="D530" s="107"/>
      <c r="E530" s="107"/>
      <c r="F530" s="107"/>
      <c r="G530" s="108"/>
    </row>
    <row r="531">
      <c r="B531" s="106"/>
      <c r="C531" s="107"/>
      <c r="D531" s="107"/>
      <c r="E531" s="107"/>
      <c r="F531" s="107"/>
      <c r="G531" s="108"/>
    </row>
    <row r="532">
      <c r="B532" s="106"/>
      <c r="C532" s="107"/>
      <c r="D532" s="107"/>
      <c r="E532" s="107"/>
      <c r="F532" s="107"/>
      <c r="G532" s="108"/>
    </row>
    <row r="533">
      <c r="B533" s="106"/>
      <c r="C533" s="107"/>
      <c r="D533" s="107"/>
      <c r="E533" s="107"/>
      <c r="F533" s="107"/>
      <c r="G533" s="108"/>
    </row>
    <row r="534">
      <c r="B534" s="106"/>
      <c r="C534" s="107"/>
      <c r="D534" s="107"/>
      <c r="E534" s="107"/>
      <c r="F534" s="107"/>
      <c r="G534" s="108"/>
    </row>
    <row r="535">
      <c r="B535" s="106"/>
      <c r="C535" s="107"/>
      <c r="D535" s="107"/>
      <c r="E535" s="107"/>
      <c r="F535" s="107"/>
      <c r="G535" s="108"/>
    </row>
    <row r="536">
      <c r="B536" s="106"/>
      <c r="C536" s="107"/>
      <c r="D536" s="107"/>
      <c r="E536" s="107"/>
      <c r="F536" s="107"/>
      <c r="G536" s="108"/>
    </row>
    <row r="537">
      <c r="B537" s="106"/>
      <c r="C537" s="107"/>
      <c r="D537" s="107"/>
      <c r="E537" s="107"/>
      <c r="F537" s="107"/>
      <c r="G537" s="108"/>
    </row>
    <row r="538">
      <c r="B538" s="106"/>
      <c r="C538" s="107"/>
      <c r="D538" s="107"/>
      <c r="E538" s="107"/>
      <c r="F538" s="107"/>
      <c r="G538" s="108"/>
    </row>
    <row r="539">
      <c r="B539" s="106"/>
      <c r="C539" s="107"/>
      <c r="D539" s="107"/>
      <c r="E539" s="107"/>
      <c r="F539" s="107"/>
      <c r="G539" s="108"/>
    </row>
    <row r="540">
      <c r="B540" s="106"/>
      <c r="C540" s="107"/>
      <c r="D540" s="107"/>
      <c r="E540" s="107"/>
      <c r="F540" s="107"/>
      <c r="G540" s="108"/>
    </row>
    <row r="541">
      <c r="B541" s="106"/>
      <c r="C541" s="107"/>
      <c r="D541" s="107"/>
      <c r="E541" s="107"/>
      <c r="F541" s="107"/>
      <c r="G541" s="108"/>
    </row>
    <row r="542">
      <c r="B542" s="106"/>
      <c r="C542" s="107"/>
      <c r="D542" s="107"/>
      <c r="E542" s="107"/>
      <c r="F542" s="107"/>
      <c r="G542" s="108"/>
    </row>
    <row r="543">
      <c r="B543" s="106"/>
      <c r="C543" s="107"/>
      <c r="D543" s="107"/>
      <c r="E543" s="107"/>
      <c r="F543" s="107"/>
      <c r="G543" s="108"/>
    </row>
    <row r="544">
      <c r="B544" s="106"/>
      <c r="C544" s="107"/>
      <c r="D544" s="107"/>
      <c r="E544" s="107"/>
      <c r="F544" s="107"/>
      <c r="G544" s="108"/>
    </row>
    <row r="545">
      <c r="B545" s="106"/>
      <c r="C545" s="107"/>
      <c r="D545" s="107"/>
      <c r="E545" s="107"/>
      <c r="F545" s="107"/>
      <c r="G545" s="108"/>
    </row>
    <row r="546">
      <c r="B546" s="106"/>
      <c r="C546" s="107"/>
      <c r="D546" s="107"/>
      <c r="E546" s="107"/>
      <c r="F546" s="107"/>
      <c r="G546" s="108"/>
    </row>
    <row r="547">
      <c r="B547" s="106"/>
      <c r="C547" s="107"/>
      <c r="D547" s="107"/>
      <c r="E547" s="107"/>
      <c r="F547" s="107"/>
      <c r="G547" s="108"/>
    </row>
    <row r="548">
      <c r="B548" s="106"/>
      <c r="C548" s="107"/>
      <c r="D548" s="107"/>
      <c r="E548" s="107"/>
      <c r="F548" s="107"/>
      <c r="G548" s="108"/>
    </row>
    <row r="549">
      <c r="B549" s="106"/>
      <c r="C549" s="107"/>
      <c r="D549" s="107"/>
      <c r="E549" s="107"/>
      <c r="F549" s="107"/>
      <c r="G549" s="108"/>
    </row>
    <row r="550">
      <c r="B550" s="106"/>
      <c r="C550" s="107"/>
      <c r="D550" s="107"/>
      <c r="E550" s="107"/>
      <c r="F550" s="107"/>
      <c r="G550" s="108"/>
    </row>
    <row r="551">
      <c r="B551" s="106"/>
      <c r="C551" s="107"/>
      <c r="D551" s="107"/>
      <c r="E551" s="107"/>
      <c r="F551" s="107"/>
      <c r="G551" s="108"/>
    </row>
    <row r="552">
      <c r="B552" s="106"/>
      <c r="C552" s="107"/>
      <c r="D552" s="107"/>
      <c r="E552" s="107"/>
      <c r="F552" s="107"/>
      <c r="G552" s="108"/>
    </row>
    <row r="553">
      <c r="B553" s="106"/>
      <c r="C553" s="107"/>
      <c r="D553" s="107"/>
      <c r="E553" s="107"/>
      <c r="F553" s="107"/>
      <c r="G553" s="108"/>
    </row>
    <row r="554">
      <c r="B554" s="106"/>
      <c r="C554" s="107"/>
      <c r="D554" s="107"/>
      <c r="E554" s="107"/>
      <c r="F554" s="107"/>
      <c r="G554" s="108"/>
    </row>
    <row r="555">
      <c r="B555" s="106"/>
      <c r="C555" s="107"/>
      <c r="D555" s="107"/>
      <c r="E555" s="107"/>
      <c r="F555" s="107"/>
      <c r="G555" s="108"/>
    </row>
    <row r="556">
      <c r="B556" s="106"/>
      <c r="C556" s="107"/>
      <c r="D556" s="107"/>
      <c r="E556" s="107"/>
      <c r="F556" s="107"/>
      <c r="G556" s="108"/>
    </row>
    <row r="557">
      <c r="B557" s="106"/>
      <c r="C557" s="107"/>
      <c r="D557" s="107"/>
      <c r="E557" s="107"/>
      <c r="F557" s="107"/>
      <c r="G557" s="108"/>
    </row>
    <row r="558">
      <c r="B558" s="106"/>
      <c r="C558" s="107"/>
      <c r="D558" s="107"/>
      <c r="E558" s="107"/>
      <c r="F558" s="107"/>
      <c r="G558" s="108"/>
    </row>
    <row r="559">
      <c r="B559" s="106"/>
      <c r="C559" s="107"/>
      <c r="D559" s="107"/>
      <c r="E559" s="107"/>
      <c r="F559" s="107"/>
      <c r="G559" s="108"/>
    </row>
    <row r="560">
      <c r="B560" s="106"/>
      <c r="C560" s="107"/>
      <c r="D560" s="107"/>
      <c r="E560" s="107"/>
      <c r="F560" s="107"/>
      <c r="G560" s="108"/>
    </row>
    <row r="561">
      <c r="B561" s="106"/>
      <c r="C561" s="107"/>
      <c r="D561" s="107"/>
      <c r="E561" s="107"/>
      <c r="F561" s="107"/>
      <c r="G561" s="108"/>
    </row>
    <row r="562">
      <c r="B562" s="106"/>
      <c r="C562" s="107"/>
      <c r="D562" s="107"/>
      <c r="E562" s="107"/>
      <c r="F562" s="107"/>
      <c r="G562" s="108"/>
    </row>
    <row r="563">
      <c r="B563" s="106"/>
      <c r="C563" s="107"/>
      <c r="D563" s="107"/>
      <c r="E563" s="107"/>
      <c r="F563" s="107"/>
      <c r="G563" s="108"/>
    </row>
    <row r="564">
      <c r="B564" s="106"/>
      <c r="C564" s="107"/>
      <c r="D564" s="107"/>
      <c r="E564" s="107"/>
      <c r="F564" s="107"/>
      <c r="G564" s="108"/>
    </row>
    <row r="565">
      <c r="B565" s="106"/>
      <c r="C565" s="107"/>
      <c r="D565" s="107"/>
      <c r="E565" s="107"/>
      <c r="F565" s="107"/>
      <c r="G565" s="108"/>
    </row>
    <row r="566">
      <c r="B566" s="106"/>
      <c r="C566" s="107"/>
      <c r="D566" s="107"/>
      <c r="E566" s="107"/>
      <c r="F566" s="107"/>
      <c r="G566" s="108"/>
    </row>
    <row r="567">
      <c r="B567" s="106"/>
      <c r="C567" s="107"/>
      <c r="D567" s="107"/>
      <c r="E567" s="107"/>
      <c r="F567" s="107"/>
      <c r="G567" s="108"/>
    </row>
    <row r="568">
      <c r="B568" s="106"/>
      <c r="C568" s="107"/>
      <c r="D568" s="107"/>
      <c r="E568" s="107"/>
      <c r="F568" s="107"/>
      <c r="G568" s="108"/>
    </row>
    <row r="569">
      <c r="B569" s="106"/>
      <c r="C569" s="107"/>
      <c r="D569" s="107"/>
      <c r="E569" s="107"/>
      <c r="F569" s="107"/>
      <c r="G569" s="108"/>
    </row>
    <row r="570">
      <c r="B570" s="106"/>
      <c r="C570" s="107"/>
      <c r="D570" s="107"/>
      <c r="E570" s="107"/>
      <c r="F570" s="107"/>
      <c r="G570" s="108"/>
    </row>
    <row r="571">
      <c r="B571" s="106"/>
      <c r="C571" s="107"/>
      <c r="D571" s="107"/>
      <c r="E571" s="107"/>
      <c r="F571" s="107"/>
      <c r="G571" s="108"/>
    </row>
    <row r="572">
      <c r="B572" s="106"/>
      <c r="C572" s="107"/>
      <c r="D572" s="107"/>
      <c r="E572" s="107"/>
      <c r="F572" s="107"/>
      <c r="G572" s="108"/>
    </row>
    <row r="573">
      <c r="B573" s="106"/>
      <c r="C573" s="107"/>
      <c r="D573" s="107"/>
      <c r="E573" s="107"/>
      <c r="F573" s="107"/>
      <c r="G573" s="108"/>
    </row>
    <row r="574">
      <c r="B574" s="106"/>
      <c r="C574" s="107"/>
      <c r="D574" s="107"/>
      <c r="E574" s="107"/>
      <c r="F574" s="107"/>
      <c r="G574" s="108"/>
    </row>
    <row r="575">
      <c r="B575" s="106"/>
      <c r="C575" s="107"/>
      <c r="D575" s="107"/>
      <c r="E575" s="107"/>
      <c r="F575" s="107"/>
      <c r="G575" s="108"/>
    </row>
    <row r="576">
      <c r="B576" s="106"/>
      <c r="C576" s="107"/>
      <c r="D576" s="107"/>
      <c r="E576" s="107"/>
      <c r="F576" s="107"/>
      <c r="G576" s="108"/>
    </row>
    <row r="577">
      <c r="B577" s="106"/>
      <c r="C577" s="107"/>
      <c r="D577" s="107"/>
      <c r="E577" s="107"/>
      <c r="F577" s="107"/>
      <c r="G577" s="108"/>
    </row>
    <row r="578">
      <c r="B578" s="106"/>
      <c r="C578" s="107"/>
      <c r="D578" s="107"/>
      <c r="E578" s="107"/>
      <c r="F578" s="107"/>
      <c r="G578" s="108"/>
    </row>
    <row r="579">
      <c r="B579" s="106"/>
      <c r="C579" s="107"/>
      <c r="D579" s="107"/>
      <c r="E579" s="107"/>
      <c r="F579" s="107"/>
      <c r="G579" s="108"/>
    </row>
    <row r="580">
      <c r="B580" s="106"/>
      <c r="C580" s="107"/>
      <c r="D580" s="107"/>
      <c r="E580" s="107"/>
      <c r="F580" s="107"/>
      <c r="G580" s="108"/>
    </row>
    <row r="581">
      <c r="B581" s="106"/>
      <c r="C581" s="107"/>
      <c r="D581" s="107"/>
      <c r="E581" s="107"/>
      <c r="F581" s="107"/>
      <c r="G581" s="108"/>
    </row>
    <row r="582">
      <c r="B582" s="106"/>
      <c r="C582" s="107"/>
      <c r="D582" s="107"/>
      <c r="E582" s="107"/>
      <c r="F582" s="107"/>
      <c r="G582" s="108"/>
    </row>
    <row r="583">
      <c r="B583" s="106"/>
      <c r="C583" s="107"/>
      <c r="D583" s="107"/>
      <c r="E583" s="107"/>
      <c r="F583" s="107"/>
      <c r="G583" s="108"/>
    </row>
    <row r="584">
      <c r="B584" s="106"/>
      <c r="C584" s="107"/>
      <c r="D584" s="107"/>
      <c r="E584" s="107"/>
      <c r="F584" s="107"/>
      <c r="G584" s="108"/>
    </row>
    <row r="585">
      <c r="B585" s="106"/>
      <c r="C585" s="107"/>
      <c r="D585" s="107"/>
      <c r="E585" s="107"/>
      <c r="F585" s="107"/>
      <c r="G585" s="108"/>
    </row>
    <row r="586">
      <c r="B586" s="106"/>
      <c r="C586" s="107"/>
      <c r="D586" s="107"/>
      <c r="E586" s="107"/>
      <c r="F586" s="107"/>
      <c r="G586" s="108"/>
    </row>
    <row r="587">
      <c r="B587" s="106"/>
      <c r="C587" s="107"/>
      <c r="D587" s="107"/>
      <c r="E587" s="107"/>
      <c r="F587" s="107"/>
      <c r="G587" s="108"/>
    </row>
    <row r="588">
      <c r="B588" s="106"/>
      <c r="C588" s="107"/>
      <c r="D588" s="107"/>
      <c r="E588" s="107"/>
      <c r="F588" s="107"/>
      <c r="G588" s="108"/>
    </row>
    <row r="589">
      <c r="B589" s="106"/>
      <c r="C589" s="107"/>
      <c r="D589" s="107"/>
      <c r="E589" s="107"/>
      <c r="F589" s="107"/>
      <c r="G589" s="108"/>
    </row>
    <row r="590">
      <c r="B590" s="106"/>
      <c r="C590" s="107"/>
      <c r="D590" s="107"/>
      <c r="E590" s="107"/>
      <c r="F590" s="107"/>
      <c r="G590" s="108"/>
    </row>
    <row r="591">
      <c r="B591" s="106"/>
      <c r="C591" s="107"/>
      <c r="D591" s="107"/>
      <c r="E591" s="107"/>
      <c r="F591" s="107"/>
      <c r="G591" s="108"/>
    </row>
    <row r="592">
      <c r="B592" s="106"/>
      <c r="C592" s="107"/>
      <c r="D592" s="107"/>
      <c r="E592" s="107"/>
      <c r="F592" s="107"/>
      <c r="G592" s="108"/>
    </row>
    <row r="593">
      <c r="B593" s="106"/>
      <c r="C593" s="107"/>
      <c r="D593" s="107"/>
      <c r="E593" s="107"/>
      <c r="F593" s="107"/>
      <c r="G593" s="108"/>
    </row>
    <row r="594">
      <c r="B594" s="106"/>
      <c r="C594" s="107"/>
      <c r="D594" s="107"/>
      <c r="E594" s="107"/>
      <c r="F594" s="107"/>
      <c r="G594" s="108"/>
    </row>
    <row r="595">
      <c r="B595" s="106"/>
      <c r="C595" s="107"/>
      <c r="D595" s="107"/>
      <c r="E595" s="107"/>
      <c r="F595" s="107"/>
      <c r="G595" s="108"/>
    </row>
    <row r="596">
      <c r="B596" s="106"/>
      <c r="C596" s="107"/>
      <c r="D596" s="107"/>
      <c r="E596" s="107"/>
      <c r="F596" s="107"/>
      <c r="G596" s="108"/>
    </row>
    <row r="597">
      <c r="B597" s="106"/>
      <c r="C597" s="107"/>
      <c r="D597" s="107"/>
      <c r="E597" s="107"/>
      <c r="F597" s="107"/>
      <c r="G597" s="108"/>
    </row>
    <row r="598">
      <c r="B598" s="106"/>
      <c r="C598" s="107"/>
      <c r="D598" s="107"/>
      <c r="E598" s="107"/>
      <c r="F598" s="107"/>
      <c r="G598" s="108"/>
    </row>
    <row r="599">
      <c r="B599" s="106"/>
      <c r="C599" s="107"/>
      <c r="D599" s="107"/>
      <c r="E599" s="107"/>
      <c r="F599" s="107"/>
      <c r="G599" s="108"/>
    </row>
    <row r="600">
      <c r="B600" s="106"/>
      <c r="C600" s="107"/>
      <c r="D600" s="107"/>
      <c r="E600" s="107"/>
      <c r="F600" s="107"/>
      <c r="G600" s="108"/>
    </row>
    <row r="601">
      <c r="B601" s="106"/>
      <c r="C601" s="107"/>
      <c r="D601" s="107"/>
      <c r="E601" s="107"/>
      <c r="F601" s="107"/>
      <c r="G601" s="108"/>
    </row>
    <row r="602">
      <c r="B602" s="106"/>
      <c r="C602" s="107"/>
      <c r="D602" s="107"/>
      <c r="E602" s="107"/>
      <c r="F602" s="107"/>
      <c r="G602" s="108"/>
    </row>
    <row r="603">
      <c r="B603" s="106"/>
      <c r="C603" s="107"/>
      <c r="D603" s="107"/>
      <c r="E603" s="107"/>
      <c r="F603" s="107"/>
      <c r="G603" s="108"/>
    </row>
    <row r="604">
      <c r="B604" s="106"/>
      <c r="C604" s="107"/>
      <c r="D604" s="107"/>
      <c r="E604" s="107"/>
      <c r="F604" s="107"/>
      <c r="G604" s="108"/>
    </row>
    <row r="605">
      <c r="B605" s="106"/>
      <c r="C605" s="107"/>
      <c r="D605" s="107"/>
      <c r="E605" s="107"/>
      <c r="F605" s="107"/>
      <c r="G605" s="108"/>
    </row>
    <row r="606">
      <c r="B606" s="106"/>
      <c r="C606" s="107"/>
      <c r="D606" s="107"/>
      <c r="E606" s="107"/>
      <c r="F606" s="107"/>
      <c r="G606" s="108"/>
    </row>
    <row r="607">
      <c r="B607" s="106"/>
      <c r="C607" s="107"/>
      <c r="D607" s="107"/>
      <c r="E607" s="107"/>
      <c r="F607" s="107"/>
      <c r="G607" s="108"/>
    </row>
    <row r="608">
      <c r="B608" s="106"/>
      <c r="C608" s="107"/>
      <c r="D608" s="107"/>
      <c r="E608" s="107"/>
      <c r="F608" s="107"/>
      <c r="G608" s="108"/>
    </row>
    <row r="609">
      <c r="B609" s="106"/>
      <c r="C609" s="107"/>
      <c r="D609" s="107"/>
      <c r="E609" s="107"/>
      <c r="F609" s="107"/>
      <c r="G609" s="108"/>
    </row>
    <row r="610">
      <c r="B610" s="106"/>
      <c r="C610" s="107"/>
      <c r="D610" s="107"/>
      <c r="E610" s="107"/>
      <c r="F610" s="107"/>
      <c r="G610" s="108"/>
    </row>
    <row r="611">
      <c r="B611" s="106"/>
      <c r="C611" s="107"/>
      <c r="D611" s="107"/>
      <c r="E611" s="107"/>
      <c r="F611" s="107"/>
      <c r="G611" s="108"/>
    </row>
    <row r="612">
      <c r="B612" s="106"/>
      <c r="C612" s="107"/>
      <c r="D612" s="107"/>
      <c r="E612" s="107"/>
      <c r="F612" s="107"/>
      <c r="G612" s="108"/>
    </row>
    <row r="613">
      <c r="B613" s="106"/>
      <c r="C613" s="107"/>
      <c r="D613" s="107"/>
      <c r="E613" s="107"/>
      <c r="F613" s="107"/>
      <c r="G613" s="108"/>
    </row>
    <row r="614">
      <c r="B614" s="106"/>
      <c r="C614" s="107"/>
      <c r="D614" s="107"/>
      <c r="E614" s="107"/>
      <c r="F614" s="107"/>
      <c r="G614" s="108"/>
    </row>
    <row r="615">
      <c r="B615" s="106"/>
      <c r="C615" s="107"/>
      <c r="D615" s="107"/>
      <c r="E615" s="107"/>
      <c r="F615" s="107"/>
      <c r="G615" s="108"/>
    </row>
    <row r="616">
      <c r="B616" s="106"/>
      <c r="C616" s="107"/>
      <c r="D616" s="107"/>
      <c r="E616" s="107"/>
      <c r="F616" s="107"/>
      <c r="G616" s="108"/>
    </row>
    <row r="617">
      <c r="B617" s="106"/>
      <c r="C617" s="107"/>
      <c r="D617" s="107"/>
      <c r="E617" s="107"/>
      <c r="F617" s="107"/>
      <c r="G617" s="108"/>
    </row>
    <row r="618">
      <c r="B618" s="106"/>
      <c r="C618" s="107"/>
      <c r="D618" s="107"/>
      <c r="E618" s="107"/>
      <c r="F618" s="107"/>
      <c r="G618" s="108"/>
    </row>
    <row r="619">
      <c r="B619" s="106"/>
      <c r="C619" s="107"/>
      <c r="D619" s="107"/>
      <c r="E619" s="107"/>
      <c r="F619" s="107"/>
      <c r="G619" s="108"/>
    </row>
    <row r="620">
      <c r="B620" s="106"/>
      <c r="C620" s="107"/>
      <c r="D620" s="107"/>
      <c r="E620" s="107"/>
      <c r="F620" s="107"/>
      <c r="G620" s="108"/>
    </row>
    <row r="621">
      <c r="B621" s="106"/>
      <c r="C621" s="107"/>
      <c r="D621" s="107"/>
      <c r="E621" s="107"/>
      <c r="F621" s="107"/>
      <c r="G621" s="108"/>
    </row>
    <row r="622">
      <c r="B622" s="106"/>
      <c r="C622" s="107"/>
      <c r="D622" s="107"/>
      <c r="E622" s="107"/>
      <c r="F622" s="107"/>
      <c r="G622" s="108"/>
    </row>
    <row r="623">
      <c r="B623" s="106"/>
      <c r="C623" s="107"/>
      <c r="D623" s="107"/>
      <c r="E623" s="107"/>
      <c r="F623" s="107"/>
      <c r="G623" s="108"/>
    </row>
    <row r="624">
      <c r="B624" s="106"/>
      <c r="C624" s="107"/>
      <c r="D624" s="107"/>
      <c r="E624" s="107"/>
      <c r="F624" s="107"/>
      <c r="G624" s="108"/>
    </row>
    <row r="625">
      <c r="B625" s="106"/>
      <c r="C625" s="107"/>
      <c r="D625" s="107"/>
      <c r="E625" s="107"/>
      <c r="F625" s="107"/>
      <c r="G625" s="108"/>
    </row>
    <row r="626">
      <c r="B626" s="106"/>
      <c r="C626" s="107"/>
      <c r="D626" s="107"/>
      <c r="E626" s="107"/>
      <c r="F626" s="107"/>
      <c r="G626" s="108"/>
    </row>
    <row r="627">
      <c r="B627" s="106"/>
      <c r="C627" s="107"/>
      <c r="D627" s="107"/>
      <c r="E627" s="107"/>
      <c r="F627" s="107"/>
      <c r="G627" s="108"/>
    </row>
    <row r="628">
      <c r="B628" s="106"/>
      <c r="C628" s="107"/>
      <c r="D628" s="107"/>
      <c r="E628" s="107"/>
      <c r="F628" s="107"/>
      <c r="G628" s="108"/>
    </row>
    <row r="629">
      <c r="B629" s="106"/>
      <c r="C629" s="107"/>
      <c r="D629" s="107"/>
      <c r="E629" s="107"/>
      <c r="F629" s="107"/>
      <c r="G629" s="108"/>
    </row>
    <row r="630">
      <c r="B630" s="106"/>
      <c r="C630" s="107"/>
      <c r="D630" s="107"/>
      <c r="E630" s="107"/>
      <c r="F630" s="107"/>
      <c r="G630" s="108"/>
    </row>
    <row r="631">
      <c r="B631" s="106"/>
      <c r="C631" s="107"/>
      <c r="D631" s="107"/>
      <c r="E631" s="107"/>
      <c r="F631" s="107"/>
      <c r="G631" s="108"/>
    </row>
    <row r="632">
      <c r="B632" s="106"/>
      <c r="C632" s="107"/>
      <c r="D632" s="107"/>
      <c r="E632" s="107"/>
      <c r="F632" s="107"/>
      <c r="G632" s="108"/>
    </row>
    <row r="633">
      <c r="B633" s="106"/>
      <c r="C633" s="107"/>
      <c r="D633" s="107"/>
      <c r="E633" s="107"/>
      <c r="F633" s="107"/>
      <c r="G633" s="108"/>
    </row>
    <row r="634">
      <c r="B634" s="106"/>
      <c r="C634" s="107"/>
      <c r="D634" s="107"/>
      <c r="E634" s="107"/>
      <c r="F634" s="107"/>
      <c r="G634" s="108"/>
    </row>
    <row r="635">
      <c r="B635" s="106"/>
      <c r="C635" s="107"/>
      <c r="D635" s="107"/>
      <c r="E635" s="107"/>
      <c r="F635" s="107"/>
      <c r="G635" s="108"/>
    </row>
    <row r="636">
      <c r="B636" s="106"/>
      <c r="C636" s="107"/>
      <c r="D636" s="107"/>
      <c r="E636" s="107"/>
      <c r="F636" s="107"/>
      <c r="G636" s="108"/>
    </row>
    <row r="637">
      <c r="B637" s="106"/>
      <c r="C637" s="107"/>
      <c r="D637" s="107"/>
      <c r="E637" s="107"/>
      <c r="F637" s="107"/>
      <c r="G637" s="108"/>
    </row>
    <row r="638">
      <c r="B638" s="106"/>
      <c r="C638" s="107"/>
      <c r="D638" s="107"/>
      <c r="E638" s="107"/>
      <c r="F638" s="107"/>
      <c r="G638" s="108"/>
    </row>
    <row r="639">
      <c r="B639" s="106"/>
      <c r="C639" s="107"/>
      <c r="D639" s="107"/>
      <c r="E639" s="107"/>
      <c r="F639" s="107"/>
      <c r="G639" s="108"/>
    </row>
    <row r="640">
      <c r="B640" s="106"/>
      <c r="C640" s="107"/>
      <c r="D640" s="107"/>
      <c r="E640" s="107"/>
      <c r="F640" s="107"/>
      <c r="G640" s="108"/>
    </row>
    <row r="641">
      <c r="B641" s="106"/>
      <c r="C641" s="107"/>
      <c r="D641" s="107"/>
      <c r="E641" s="107"/>
      <c r="F641" s="107"/>
      <c r="G641" s="108"/>
    </row>
    <row r="642">
      <c r="B642" s="106"/>
      <c r="C642" s="107"/>
      <c r="D642" s="107"/>
      <c r="E642" s="107"/>
      <c r="F642" s="107"/>
      <c r="G642" s="108"/>
    </row>
    <row r="643">
      <c r="B643" s="106"/>
      <c r="C643" s="107"/>
      <c r="D643" s="107"/>
      <c r="E643" s="107"/>
      <c r="F643" s="107"/>
      <c r="G643" s="108"/>
    </row>
    <row r="644">
      <c r="B644" s="106"/>
      <c r="C644" s="107"/>
      <c r="D644" s="107"/>
      <c r="E644" s="107"/>
      <c r="F644" s="107"/>
      <c r="G644" s="108"/>
    </row>
    <row r="645">
      <c r="B645" s="106"/>
      <c r="C645" s="107"/>
      <c r="D645" s="107"/>
      <c r="E645" s="107"/>
      <c r="F645" s="107"/>
      <c r="G645" s="108"/>
    </row>
    <row r="646">
      <c r="B646" s="106"/>
      <c r="C646" s="107"/>
      <c r="D646" s="107"/>
      <c r="E646" s="107"/>
      <c r="F646" s="107"/>
      <c r="G646" s="108"/>
    </row>
    <row r="647">
      <c r="B647" s="106"/>
      <c r="C647" s="107"/>
      <c r="D647" s="107"/>
      <c r="E647" s="107"/>
      <c r="F647" s="107"/>
      <c r="G647" s="108"/>
    </row>
    <row r="648">
      <c r="B648" s="106"/>
      <c r="C648" s="107"/>
      <c r="D648" s="107"/>
      <c r="E648" s="107"/>
      <c r="F648" s="107"/>
      <c r="G648" s="108"/>
    </row>
    <row r="649">
      <c r="B649" s="106"/>
      <c r="C649" s="107"/>
      <c r="D649" s="107"/>
      <c r="E649" s="107"/>
      <c r="F649" s="107"/>
      <c r="G649" s="108"/>
    </row>
    <row r="650">
      <c r="B650" s="106"/>
      <c r="C650" s="107"/>
      <c r="D650" s="107"/>
      <c r="E650" s="107"/>
      <c r="F650" s="107"/>
      <c r="G650" s="108"/>
    </row>
    <row r="651">
      <c r="B651" s="106"/>
      <c r="C651" s="107"/>
      <c r="D651" s="107"/>
      <c r="E651" s="107"/>
      <c r="F651" s="107"/>
      <c r="G651" s="108"/>
    </row>
    <row r="652">
      <c r="B652" s="106"/>
      <c r="C652" s="107"/>
      <c r="D652" s="107"/>
      <c r="E652" s="107"/>
      <c r="F652" s="107"/>
      <c r="G652" s="108"/>
    </row>
    <row r="653">
      <c r="B653" s="106"/>
      <c r="C653" s="107"/>
      <c r="D653" s="107"/>
      <c r="E653" s="107"/>
      <c r="F653" s="107"/>
      <c r="G653" s="108"/>
    </row>
    <row r="654">
      <c r="B654" s="106"/>
      <c r="C654" s="107"/>
      <c r="D654" s="107"/>
      <c r="E654" s="107"/>
      <c r="F654" s="107"/>
      <c r="G654" s="108"/>
    </row>
    <row r="655">
      <c r="B655" s="106"/>
      <c r="C655" s="107"/>
      <c r="D655" s="107"/>
      <c r="E655" s="107"/>
      <c r="F655" s="107"/>
      <c r="G655" s="108"/>
    </row>
    <row r="656">
      <c r="B656" s="106"/>
      <c r="C656" s="107"/>
      <c r="D656" s="107"/>
      <c r="E656" s="107"/>
      <c r="F656" s="107"/>
      <c r="G656" s="108"/>
    </row>
    <row r="657">
      <c r="B657" s="106"/>
      <c r="C657" s="107"/>
      <c r="D657" s="107"/>
      <c r="E657" s="107"/>
      <c r="F657" s="107"/>
      <c r="G657" s="108"/>
    </row>
    <row r="658">
      <c r="B658" s="106"/>
      <c r="C658" s="107"/>
      <c r="D658" s="107"/>
      <c r="E658" s="107"/>
      <c r="F658" s="107"/>
      <c r="G658" s="108"/>
    </row>
    <row r="659">
      <c r="B659" s="106"/>
      <c r="C659" s="107"/>
      <c r="D659" s="107"/>
      <c r="E659" s="107"/>
      <c r="F659" s="107"/>
      <c r="G659" s="108"/>
    </row>
    <row r="660">
      <c r="B660" s="106"/>
      <c r="C660" s="107"/>
      <c r="D660" s="107"/>
      <c r="E660" s="107"/>
      <c r="F660" s="107"/>
      <c r="G660" s="108"/>
    </row>
    <row r="661">
      <c r="B661" s="106"/>
      <c r="C661" s="107"/>
      <c r="D661" s="107"/>
      <c r="E661" s="107"/>
      <c r="F661" s="107"/>
      <c r="G661" s="108"/>
    </row>
    <row r="662">
      <c r="B662" s="106"/>
      <c r="C662" s="107"/>
      <c r="D662" s="107"/>
      <c r="E662" s="107"/>
      <c r="F662" s="107"/>
      <c r="G662" s="108"/>
    </row>
    <row r="663">
      <c r="B663" s="106"/>
      <c r="C663" s="107"/>
      <c r="D663" s="107"/>
      <c r="E663" s="107"/>
      <c r="F663" s="107"/>
      <c r="G663" s="108"/>
    </row>
    <row r="664">
      <c r="B664" s="106"/>
      <c r="C664" s="107"/>
      <c r="D664" s="107"/>
      <c r="E664" s="107"/>
      <c r="F664" s="107"/>
      <c r="G664" s="108"/>
    </row>
    <row r="665">
      <c r="B665" s="106"/>
      <c r="C665" s="107"/>
      <c r="D665" s="107"/>
      <c r="E665" s="107"/>
      <c r="F665" s="107"/>
      <c r="G665" s="108"/>
    </row>
    <row r="666">
      <c r="B666" s="106"/>
      <c r="C666" s="107"/>
      <c r="D666" s="107"/>
      <c r="E666" s="107"/>
      <c r="F666" s="107"/>
      <c r="G666" s="108"/>
    </row>
    <row r="667">
      <c r="B667" s="106"/>
      <c r="C667" s="107"/>
      <c r="D667" s="107"/>
      <c r="E667" s="107"/>
      <c r="F667" s="107"/>
      <c r="G667" s="108"/>
    </row>
    <row r="668">
      <c r="B668" s="106"/>
      <c r="C668" s="107"/>
      <c r="D668" s="107"/>
      <c r="E668" s="107"/>
      <c r="F668" s="107"/>
      <c r="G668" s="108"/>
    </row>
    <row r="669">
      <c r="B669" s="106"/>
      <c r="C669" s="107"/>
      <c r="D669" s="107"/>
      <c r="E669" s="107"/>
      <c r="F669" s="107"/>
      <c r="G669" s="108"/>
    </row>
    <row r="670">
      <c r="B670" s="106"/>
      <c r="C670" s="107"/>
      <c r="D670" s="107"/>
      <c r="E670" s="107"/>
      <c r="F670" s="107"/>
      <c r="G670" s="108"/>
    </row>
    <row r="671">
      <c r="B671" s="106"/>
      <c r="C671" s="107"/>
      <c r="D671" s="107"/>
      <c r="E671" s="107"/>
      <c r="F671" s="107"/>
      <c r="G671" s="108"/>
    </row>
    <row r="672">
      <c r="B672" s="106"/>
      <c r="C672" s="107"/>
      <c r="D672" s="107"/>
      <c r="E672" s="107"/>
      <c r="F672" s="107"/>
      <c r="G672" s="108"/>
    </row>
    <row r="673">
      <c r="B673" s="106"/>
      <c r="C673" s="107"/>
      <c r="D673" s="107"/>
      <c r="E673" s="107"/>
      <c r="F673" s="107"/>
      <c r="G673" s="108"/>
    </row>
    <row r="674">
      <c r="B674" s="106"/>
      <c r="C674" s="107"/>
      <c r="D674" s="107"/>
      <c r="E674" s="107"/>
      <c r="F674" s="107"/>
      <c r="G674" s="108"/>
    </row>
    <row r="675">
      <c r="B675" s="106"/>
      <c r="C675" s="107"/>
      <c r="D675" s="107"/>
      <c r="E675" s="107"/>
      <c r="F675" s="107"/>
      <c r="G675" s="108"/>
    </row>
    <row r="676">
      <c r="B676" s="106"/>
      <c r="C676" s="107"/>
      <c r="D676" s="107"/>
      <c r="E676" s="107"/>
      <c r="F676" s="107"/>
      <c r="G676" s="108"/>
    </row>
    <row r="677">
      <c r="B677" s="106"/>
      <c r="C677" s="107"/>
      <c r="D677" s="107"/>
      <c r="E677" s="107"/>
      <c r="F677" s="107"/>
      <c r="G677" s="108"/>
    </row>
    <row r="678">
      <c r="B678" s="106"/>
      <c r="C678" s="107"/>
      <c r="D678" s="107"/>
      <c r="E678" s="107"/>
      <c r="F678" s="107"/>
      <c r="G678" s="108"/>
    </row>
    <row r="679">
      <c r="B679" s="106"/>
      <c r="C679" s="107"/>
      <c r="D679" s="107"/>
      <c r="E679" s="107"/>
      <c r="F679" s="107"/>
      <c r="G679" s="108"/>
    </row>
    <row r="680">
      <c r="B680" s="106"/>
      <c r="C680" s="107"/>
      <c r="D680" s="107"/>
      <c r="E680" s="107"/>
      <c r="F680" s="107"/>
      <c r="G680" s="108"/>
    </row>
    <row r="681">
      <c r="B681" s="106"/>
      <c r="C681" s="107"/>
      <c r="D681" s="107"/>
      <c r="E681" s="107"/>
      <c r="F681" s="107"/>
      <c r="G681" s="108"/>
    </row>
    <row r="682">
      <c r="B682" s="106"/>
      <c r="C682" s="107"/>
      <c r="D682" s="107"/>
      <c r="E682" s="107"/>
      <c r="F682" s="107"/>
      <c r="G682" s="108"/>
    </row>
    <row r="683">
      <c r="B683" s="106"/>
      <c r="C683" s="107"/>
      <c r="D683" s="107"/>
      <c r="E683" s="107"/>
      <c r="F683" s="107"/>
      <c r="G683" s="108"/>
    </row>
    <row r="684">
      <c r="B684" s="106"/>
      <c r="C684" s="107"/>
      <c r="D684" s="107"/>
      <c r="E684" s="107"/>
      <c r="F684" s="107"/>
      <c r="G684" s="108"/>
    </row>
    <row r="685">
      <c r="B685" s="106"/>
      <c r="C685" s="107"/>
      <c r="D685" s="107"/>
      <c r="E685" s="107"/>
      <c r="F685" s="107"/>
      <c r="G685" s="108"/>
    </row>
    <row r="686">
      <c r="B686" s="106"/>
      <c r="C686" s="107"/>
      <c r="D686" s="107"/>
      <c r="E686" s="107"/>
      <c r="F686" s="107"/>
      <c r="G686" s="108"/>
    </row>
    <row r="687">
      <c r="B687" s="106"/>
      <c r="C687" s="107"/>
      <c r="D687" s="107"/>
      <c r="E687" s="107"/>
      <c r="F687" s="107"/>
      <c r="G687" s="108"/>
    </row>
    <row r="688">
      <c r="B688" s="106"/>
      <c r="C688" s="107"/>
      <c r="D688" s="107"/>
      <c r="E688" s="107"/>
      <c r="F688" s="107"/>
      <c r="G688" s="108"/>
    </row>
    <row r="689">
      <c r="B689" s="106"/>
      <c r="C689" s="107"/>
      <c r="D689" s="107"/>
      <c r="E689" s="107"/>
      <c r="F689" s="107"/>
      <c r="G689" s="108"/>
    </row>
    <row r="690">
      <c r="B690" s="106"/>
      <c r="C690" s="107"/>
      <c r="D690" s="107"/>
      <c r="E690" s="107"/>
      <c r="F690" s="107"/>
      <c r="G690" s="108"/>
    </row>
    <row r="691">
      <c r="B691" s="106"/>
      <c r="C691" s="107"/>
      <c r="D691" s="107"/>
      <c r="E691" s="107"/>
      <c r="F691" s="107"/>
      <c r="G691" s="108"/>
    </row>
    <row r="692">
      <c r="B692" s="106"/>
      <c r="C692" s="107"/>
      <c r="D692" s="107"/>
      <c r="E692" s="107"/>
      <c r="F692" s="107"/>
      <c r="G692" s="108"/>
    </row>
    <row r="693">
      <c r="B693" s="106"/>
      <c r="C693" s="107"/>
      <c r="D693" s="107"/>
      <c r="E693" s="107"/>
      <c r="F693" s="107"/>
      <c r="G693" s="108"/>
    </row>
    <row r="694">
      <c r="B694" s="106"/>
      <c r="C694" s="107"/>
      <c r="D694" s="107"/>
      <c r="E694" s="107"/>
      <c r="F694" s="107"/>
      <c r="G694" s="108"/>
    </row>
    <row r="695">
      <c r="B695" s="106"/>
      <c r="C695" s="107"/>
      <c r="D695" s="107"/>
      <c r="E695" s="107"/>
      <c r="F695" s="107"/>
      <c r="G695" s="108"/>
    </row>
    <row r="696">
      <c r="B696" s="106"/>
      <c r="C696" s="107"/>
      <c r="D696" s="107"/>
      <c r="E696" s="107"/>
      <c r="F696" s="107"/>
      <c r="G696" s="108"/>
    </row>
    <row r="697">
      <c r="B697" s="106"/>
      <c r="C697" s="107"/>
      <c r="D697" s="107"/>
      <c r="E697" s="107"/>
      <c r="F697" s="107"/>
      <c r="G697" s="108"/>
    </row>
    <row r="698">
      <c r="B698" s="106"/>
      <c r="C698" s="107"/>
      <c r="D698" s="107"/>
      <c r="E698" s="107"/>
      <c r="F698" s="107"/>
      <c r="G698" s="108"/>
    </row>
    <row r="699">
      <c r="B699" s="106"/>
      <c r="C699" s="107"/>
      <c r="D699" s="107"/>
      <c r="E699" s="107"/>
      <c r="F699" s="107"/>
      <c r="G699" s="108"/>
    </row>
    <row r="700">
      <c r="B700" s="106"/>
      <c r="C700" s="107"/>
      <c r="D700" s="107"/>
      <c r="E700" s="107"/>
      <c r="F700" s="107"/>
      <c r="G700" s="108"/>
    </row>
    <row r="701">
      <c r="B701" s="106"/>
      <c r="C701" s="107"/>
      <c r="D701" s="107"/>
      <c r="E701" s="107"/>
      <c r="F701" s="107"/>
      <c r="G701" s="108"/>
    </row>
    <row r="702">
      <c r="B702" s="106"/>
      <c r="C702" s="107"/>
      <c r="D702" s="107"/>
      <c r="E702" s="107"/>
      <c r="F702" s="107"/>
      <c r="G702" s="108"/>
    </row>
    <row r="703">
      <c r="B703" s="106"/>
      <c r="C703" s="107"/>
      <c r="D703" s="107"/>
      <c r="E703" s="107"/>
      <c r="F703" s="107"/>
      <c r="G703" s="108"/>
    </row>
    <row r="704">
      <c r="B704" s="106"/>
      <c r="C704" s="107"/>
      <c r="D704" s="107"/>
      <c r="E704" s="107"/>
      <c r="F704" s="107"/>
      <c r="G704" s="108"/>
    </row>
    <row r="705">
      <c r="B705" s="106"/>
      <c r="C705" s="107"/>
      <c r="D705" s="107"/>
      <c r="E705" s="107"/>
      <c r="F705" s="107"/>
      <c r="G705" s="108"/>
    </row>
    <row r="706">
      <c r="B706" s="106"/>
      <c r="C706" s="107"/>
      <c r="D706" s="107"/>
      <c r="E706" s="107"/>
      <c r="F706" s="107"/>
      <c r="G706" s="108"/>
    </row>
    <row r="707">
      <c r="B707" s="106"/>
      <c r="C707" s="107"/>
      <c r="D707" s="107"/>
      <c r="E707" s="107"/>
      <c r="F707" s="107"/>
      <c r="G707" s="108"/>
    </row>
    <row r="708">
      <c r="B708" s="106"/>
      <c r="C708" s="107"/>
      <c r="D708" s="107"/>
      <c r="E708" s="107"/>
      <c r="F708" s="107"/>
      <c r="G708" s="108"/>
    </row>
    <row r="709">
      <c r="B709" s="106"/>
      <c r="C709" s="107"/>
      <c r="D709" s="107"/>
      <c r="E709" s="107"/>
      <c r="F709" s="107"/>
      <c r="G709" s="108"/>
    </row>
    <row r="710">
      <c r="B710" s="106"/>
      <c r="C710" s="107"/>
      <c r="D710" s="107"/>
      <c r="E710" s="107"/>
      <c r="F710" s="107"/>
      <c r="G710" s="108"/>
    </row>
    <row r="711">
      <c r="B711" s="106"/>
      <c r="C711" s="107"/>
      <c r="D711" s="107"/>
      <c r="E711" s="107"/>
      <c r="F711" s="107"/>
      <c r="G711" s="108"/>
    </row>
    <row r="712">
      <c r="B712" s="106"/>
      <c r="C712" s="107"/>
      <c r="D712" s="107"/>
      <c r="E712" s="107"/>
      <c r="F712" s="107"/>
      <c r="G712" s="108"/>
    </row>
    <row r="713">
      <c r="B713" s="106"/>
      <c r="C713" s="107"/>
      <c r="D713" s="107"/>
      <c r="E713" s="107"/>
      <c r="F713" s="107"/>
      <c r="G713" s="108"/>
    </row>
    <row r="714">
      <c r="B714" s="106"/>
      <c r="C714" s="107"/>
      <c r="D714" s="107"/>
      <c r="E714" s="107"/>
      <c r="F714" s="107"/>
      <c r="G714" s="108"/>
    </row>
    <row r="715">
      <c r="B715" s="106"/>
      <c r="C715" s="107"/>
      <c r="D715" s="107"/>
      <c r="E715" s="107"/>
      <c r="F715" s="107"/>
      <c r="G715" s="108"/>
    </row>
    <row r="716">
      <c r="B716" s="106"/>
      <c r="C716" s="107"/>
      <c r="D716" s="107"/>
      <c r="E716" s="107"/>
      <c r="F716" s="107"/>
      <c r="G716" s="108"/>
    </row>
    <row r="717">
      <c r="B717" s="106"/>
      <c r="C717" s="107"/>
      <c r="D717" s="107"/>
      <c r="E717" s="107"/>
      <c r="F717" s="107"/>
      <c r="G717" s="108"/>
    </row>
    <row r="718">
      <c r="B718" s="106"/>
      <c r="C718" s="107"/>
      <c r="D718" s="107"/>
      <c r="E718" s="107"/>
      <c r="F718" s="107"/>
      <c r="G718" s="108"/>
    </row>
    <row r="719">
      <c r="B719" s="106"/>
      <c r="C719" s="107"/>
      <c r="D719" s="107"/>
      <c r="E719" s="107"/>
      <c r="F719" s="107"/>
      <c r="G719" s="108"/>
    </row>
    <row r="720">
      <c r="B720" s="106"/>
      <c r="C720" s="107"/>
      <c r="D720" s="107"/>
      <c r="E720" s="107"/>
      <c r="F720" s="107"/>
      <c r="G720" s="108"/>
    </row>
    <row r="721">
      <c r="B721" s="106"/>
      <c r="C721" s="107"/>
      <c r="D721" s="107"/>
      <c r="E721" s="107"/>
      <c r="F721" s="107"/>
      <c r="G721" s="108"/>
    </row>
    <row r="722">
      <c r="B722" s="106"/>
      <c r="C722" s="107"/>
      <c r="D722" s="107"/>
      <c r="E722" s="107"/>
      <c r="F722" s="107"/>
      <c r="G722" s="108"/>
    </row>
    <row r="723">
      <c r="B723" s="106"/>
      <c r="C723" s="107"/>
      <c r="D723" s="107"/>
      <c r="E723" s="107"/>
      <c r="F723" s="107"/>
      <c r="G723" s="108"/>
    </row>
    <row r="724">
      <c r="B724" s="106"/>
      <c r="C724" s="107"/>
      <c r="D724" s="107"/>
      <c r="E724" s="107"/>
      <c r="F724" s="107"/>
      <c r="G724" s="108"/>
    </row>
    <row r="725">
      <c r="B725" s="106"/>
      <c r="C725" s="107"/>
      <c r="D725" s="107"/>
      <c r="E725" s="107"/>
      <c r="F725" s="107"/>
      <c r="G725" s="108"/>
    </row>
    <row r="726">
      <c r="B726" s="106"/>
      <c r="C726" s="107"/>
      <c r="D726" s="107"/>
      <c r="E726" s="107"/>
      <c r="F726" s="107"/>
      <c r="G726" s="108"/>
    </row>
    <row r="727">
      <c r="B727" s="106"/>
      <c r="C727" s="107"/>
      <c r="D727" s="107"/>
      <c r="E727" s="107"/>
      <c r="F727" s="107"/>
      <c r="G727" s="108"/>
    </row>
    <row r="728">
      <c r="B728" s="106"/>
      <c r="C728" s="107"/>
      <c r="D728" s="107"/>
      <c r="E728" s="107"/>
      <c r="F728" s="107"/>
      <c r="G728" s="108"/>
    </row>
    <row r="729">
      <c r="B729" s="106"/>
      <c r="C729" s="107"/>
      <c r="D729" s="107"/>
      <c r="E729" s="107"/>
      <c r="F729" s="107"/>
      <c r="G729" s="108"/>
    </row>
    <row r="730">
      <c r="B730" s="106"/>
      <c r="C730" s="107"/>
      <c r="D730" s="107"/>
      <c r="E730" s="107"/>
      <c r="F730" s="107"/>
      <c r="G730" s="108"/>
    </row>
    <row r="731">
      <c r="B731" s="106"/>
      <c r="C731" s="107"/>
      <c r="D731" s="107"/>
      <c r="E731" s="107"/>
      <c r="F731" s="107"/>
      <c r="G731" s="108"/>
    </row>
    <row r="732">
      <c r="B732" s="106"/>
      <c r="C732" s="107"/>
      <c r="D732" s="107"/>
      <c r="E732" s="107"/>
      <c r="F732" s="107"/>
      <c r="G732" s="108"/>
    </row>
    <row r="733">
      <c r="B733" s="106"/>
      <c r="C733" s="107"/>
      <c r="D733" s="107"/>
      <c r="E733" s="107"/>
      <c r="F733" s="107"/>
      <c r="G733" s="108"/>
    </row>
    <row r="734">
      <c r="B734" s="106"/>
      <c r="C734" s="107"/>
      <c r="D734" s="107"/>
      <c r="E734" s="107"/>
      <c r="F734" s="107"/>
      <c r="G734" s="108"/>
    </row>
    <row r="735">
      <c r="B735" s="106"/>
      <c r="C735" s="107"/>
      <c r="D735" s="107"/>
      <c r="E735" s="107"/>
      <c r="F735" s="107"/>
      <c r="G735" s="108"/>
    </row>
    <row r="736">
      <c r="B736" s="106"/>
      <c r="C736" s="107"/>
      <c r="D736" s="107"/>
      <c r="E736" s="107"/>
      <c r="F736" s="107"/>
      <c r="G736" s="108"/>
    </row>
    <row r="737">
      <c r="B737" s="106"/>
      <c r="C737" s="107"/>
      <c r="D737" s="107"/>
      <c r="E737" s="107"/>
      <c r="F737" s="107"/>
      <c r="G737" s="108"/>
    </row>
    <row r="738">
      <c r="B738" s="106"/>
      <c r="C738" s="107"/>
      <c r="D738" s="107"/>
      <c r="E738" s="107"/>
      <c r="F738" s="107"/>
      <c r="G738" s="108"/>
    </row>
    <row r="739">
      <c r="B739" s="106"/>
      <c r="C739" s="107"/>
      <c r="D739" s="107"/>
      <c r="E739" s="107"/>
      <c r="F739" s="107"/>
      <c r="G739" s="108"/>
    </row>
    <row r="740">
      <c r="B740" s="106"/>
      <c r="C740" s="107"/>
      <c r="D740" s="107"/>
      <c r="E740" s="107"/>
      <c r="F740" s="107"/>
      <c r="G740" s="108"/>
    </row>
    <row r="741">
      <c r="B741" s="106"/>
      <c r="C741" s="107"/>
      <c r="D741" s="107"/>
      <c r="E741" s="107"/>
      <c r="F741" s="107"/>
      <c r="G741" s="108"/>
    </row>
    <row r="742">
      <c r="B742" s="106"/>
      <c r="C742" s="107"/>
      <c r="D742" s="107"/>
      <c r="E742" s="107"/>
      <c r="F742" s="107"/>
      <c r="G742" s="108"/>
    </row>
    <row r="743">
      <c r="B743" s="106"/>
      <c r="C743" s="107"/>
      <c r="D743" s="107"/>
      <c r="E743" s="107"/>
      <c r="F743" s="107"/>
      <c r="G743" s="108"/>
    </row>
    <row r="744">
      <c r="B744" s="106"/>
      <c r="C744" s="107"/>
      <c r="D744" s="107"/>
      <c r="E744" s="107"/>
      <c r="F744" s="107"/>
      <c r="G744" s="108"/>
    </row>
    <row r="745">
      <c r="B745" s="106"/>
      <c r="C745" s="107"/>
      <c r="D745" s="107"/>
      <c r="E745" s="107"/>
      <c r="F745" s="107"/>
      <c r="G745" s="108"/>
    </row>
    <row r="746">
      <c r="B746" s="106"/>
      <c r="C746" s="107"/>
      <c r="D746" s="107"/>
      <c r="E746" s="107"/>
      <c r="F746" s="107"/>
      <c r="G746" s="108"/>
    </row>
    <row r="747">
      <c r="B747" s="106"/>
      <c r="C747" s="107"/>
      <c r="D747" s="107"/>
      <c r="E747" s="107"/>
      <c r="F747" s="107"/>
      <c r="G747" s="108"/>
    </row>
    <row r="748">
      <c r="B748" s="106"/>
      <c r="C748" s="107"/>
      <c r="D748" s="107"/>
      <c r="E748" s="107"/>
      <c r="F748" s="107"/>
      <c r="G748" s="108"/>
    </row>
    <row r="749">
      <c r="B749" s="106"/>
      <c r="C749" s="107"/>
      <c r="D749" s="107"/>
      <c r="E749" s="107"/>
      <c r="F749" s="107"/>
      <c r="G749" s="108"/>
    </row>
    <row r="750">
      <c r="B750" s="106"/>
      <c r="C750" s="107"/>
      <c r="D750" s="107"/>
      <c r="E750" s="107"/>
      <c r="F750" s="107"/>
      <c r="G750" s="108"/>
    </row>
    <row r="751">
      <c r="B751" s="106"/>
      <c r="C751" s="107"/>
      <c r="D751" s="107"/>
      <c r="E751" s="107"/>
      <c r="F751" s="107"/>
      <c r="G751" s="108"/>
    </row>
    <row r="752">
      <c r="B752" s="106"/>
      <c r="C752" s="107"/>
      <c r="D752" s="107"/>
      <c r="E752" s="107"/>
      <c r="F752" s="107"/>
      <c r="G752" s="108"/>
    </row>
    <row r="753">
      <c r="B753" s="106"/>
      <c r="C753" s="107"/>
      <c r="D753" s="107"/>
      <c r="E753" s="107"/>
      <c r="F753" s="107"/>
      <c r="G753" s="108"/>
    </row>
    <row r="754">
      <c r="B754" s="106"/>
      <c r="C754" s="107"/>
      <c r="D754" s="107"/>
      <c r="E754" s="107"/>
      <c r="F754" s="107"/>
      <c r="G754" s="108"/>
    </row>
    <row r="755">
      <c r="B755" s="106"/>
      <c r="C755" s="107"/>
      <c r="D755" s="107"/>
      <c r="E755" s="107"/>
      <c r="F755" s="107"/>
      <c r="G755" s="108"/>
    </row>
    <row r="756">
      <c r="B756" s="106"/>
      <c r="C756" s="107"/>
      <c r="D756" s="107"/>
      <c r="E756" s="107"/>
      <c r="F756" s="107"/>
      <c r="G756" s="108"/>
    </row>
    <row r="757">
      <c r="B757" s="106"/>
      <c r="C757" s="107"/>
      <c r="D757" s="107"/>
      <c r="E757" s="107"/>
      <c r="F757" s="107"/>
      <c r="G757" s="108"/>
    </row>
    <row r="758">
      <c r="B758" s="106"/>
      <c r="C758" s="107"/>
      <c r="D758" s="107"/>
      <c r="E758" s="107"/>
      <c r="F758" s="107"/>
      <c r="G758" s="108"/>
    </row>
    <row r="759">
      <c r="B759" s="106"/>
      <c r="C759" s="107"/>
      <c r="D759" s="107"/>
      <c r="E759" s="107"/>
      <c r="F759" s="107"/>
      <c r="G759" s="108"/>
    </row>
    <row r="760">
      <c r="B760" s="106"/>
      <c r="C760" s="107"/>
      <c r="D760" s="107"/>
      <c r="E760" s="107"/>
      <c r="F760" s="107"/>
      <c r="G760" s="108"/>
    </row>
    <row r="761">
      <c r="B761" s="106"/>
      <c r="C761" s="107"/>
      <c r="D761" s="107"/>
      <c r="E761" s="107"/>
      <c r="F761" s="107"/>
      <c r="G761" s="108"/>
    </row>
    <row r="762">
      <c r="B762" s="106"/>
      <c r="C762" s="107"/>
      <c r="D762" s="107"/>
      <c r="E762" s="107"/>
      <c r="F762" s="107"/>
      <c r="G762" s="108"/>
    </row>
    <row r="763">
      <c r="B763" s="106"/>
      <c r="C763" s="107"/>
      <c r="D763" s="107"/>
      <c r="E763" s="107"/>
      <c r="F763" s="107"/>
      <c r="G763" s="108"/>
    </row>
    <row r="764">
      <c r="B764" s="106"/>
      <c r="C764" s="107"/>
      <c r="D764" s="107"/>
      <c r="E764" s="107"/>
      <c r="F764" s="107"/>
      <c r="G764" s="108"/>
    </row>
    <row r="765">
      <c r="B765" s="106"/>
      <c r="C765" s="107"/>
      <c r="D765" s="107"/>
      <c r="E765" s="107"/>
      <c r="F765" s="107"/>
      <c r="G765" s="108"/>
    </row>
    <row r="766">
      <c r="B766" s="106"/>
      <c r="C766" s="107"/>
      <c r="D766" s="107"/>
      <c r="E766" s="107"/>
      <c r="F766" s="107"/>
      <c r="G766" s="108"/>
    </row>
    <row r="767">
      <c r="B767" s="106"/>
      <c r="C767" s="107"/>
      <c r="D767" s="107"/>
      <c r="E767" s="107"/>
      <c r="F767" s="107"/>
      <c r="G767" s="108"/>
    </row>
    <row r="768">
      <c r="B768" s="106"/>
      <c r="C768" s="107"/>
      <c r="D768" s="107"/>
      <c r="E768" s="107"/>
      <c r="F768" s="107"/>
      <c r="G768" s="108"/>
    </row>
    <row r="769">
      <c r="B769" s="106"/>
      <c r="C769" s="107"/>
      <c r="D769" s="107"/>
      <c r="E769" s="107"/>
      <c r="F769" s="107"/>
      <c r="G769" s="108"/>
    </row>
    <row r="770">
      <c r="B770" s="106"/>
      <c r="C770" s="107"/>
      <c r="D770" s="107"/>
      <c r="E770" s="107"/>
      <c r="F770" s="107"/>
      <c r="G770" s="108"/>
    </row>
    <row r="771">
      <c r="B771" s="106"/>
      <c r="C771" s="107"/>
      <c r="D771" s="107"/>
      <c r="E771" s="107"/>
      <c r="F771" s="107"/>
      <c r="G771" s="108"/>
    </row>
    <row r="772">
      <c r="B772" s="106"/>
      <c r="C772" s="107"/>
      <c r="D772" s="107"/>
      <c r="E772" s="107"/>
      <c r="F772" s="107"/>
      <c r="G772" s="108"/>
    </row>
    <row r="773">
      <c r="B773" s="106"/>
      <c r="C773" s="107"/>
      <c r="D773" s="107"/>
      <c r="E773" s="107"/>
      <c r="F773" s="107"/>
      <c r="G773" s="108"/>
    </row>
    <row r="774">
      <c r="B774" s="106"/>
      <c r="C774" s="107"/>
      <c r="D774" s="107"/>
      <c r="E774" s="107"/>
      <c r="F774" s="107"/>
      <c r="G774" s="108"/>
    </row>
    <row r="775">
      <c r="B775" s="106"/>
      <c r="C775" s="107"/>
      <c r="D775" s="107"/>
      <c r="E775" s="107"/>
      <c r="F775" s="107"/>
      <c r="G775" s="108"/>
    </row>
    <row r="776">
      <c r="B776" s="106"/>
      <c r="C776" s="107"/>
      <c r="D776" s="107"/>
      <c r="E776" s="107"/>
      <c r="F776" s="107"/>
      <c r="G776" s="108"/>
    </row>
    <row r="777">
      <c r="B777" s="106"/>
      <c r="C777" s="107"/>
      <c r="D777" s="107"/>
      <c r="E777" s="107"/>
      <c r="F777" s="107"/>
      <c r="G777" s="108"/>
    </row>
    <row r="778">
      <c r="B778" s="106"/>
      <c r="C778" s="107"/>
      <c r="D778" s="107"/>
      <c r="E778" s="107"/>
      <c r="F778" s="107"/>
      <c r="G778" s="108"/>
    </row>
    <row r="779">
      <c r="B779" s="106"/>
      <c r="C779" s="107"/>
      <c r="D779" s="107"/>
      <c r="E779" s="107"/>
      <c r="F779" s="107"/>
      <c r="G779" s="108"/>
    </row>
    <row r="780">
      <c r="B780" s="106"/>
      <c r="C780" s="107"/>
      <c r="D780" s="107"/>
      <c r="E780" s="107"/>
      <c r="F780" s="107"/>
      <c r="G780" s="108"/>
    </row>
    <row r="781">
      <c r="B781" s="106"/>
      <c r="C781" s="107"/>
      <c r="D781" s="107"/>
      <c r="E781" s="107"/>
      <c r="F781" s="107"/>
      <c r="G781" s="108"/>
    </row>
    <row r="782">
      <c r="B782" s="106"/>
      <c r="C782" s="107"/>
      <c r="D782" s="107"/>
      <c r="E782" s="107"/>
      <c r="F782" s="107"/>
      <c r="G782" s="108"/>
    </row>
    <row r="783">
      <c r="B783" s="106"/>
      <c r="C783" s="107"/>
      <c r="D783" s="107"/>
      <c r="E783" s="107"/>
      <c r="F783" s="107"/>
      <c r="G783" s="108"/>
    </row>
    <row r="784">
      <c r="B784" s="106"/>
      <c r="C784" s="107"/>
      <c r="D784" s="107"/>
      <c r="E784" s="107"/>
      <c r="F784" s="107"/>
      <c r="G784" s="108"/>
    </row>
    <row r="785">
      <c r="B785" s="106"/>
      <c r="C785" s="107"/>
      <c r="D785" s="107"/>
      <c r="E785" s="107"/>
      <c r="F785" s="107"/>
      <c r="G785" s="108"/>
    </row>
    <row r="786">
      <c r="B786" s="106"/>
      <c r="C786" s="107"/>
      <c r="D786" s="107"/>
      <c r="E786" s="107"/>
      <c r="F786" s="107"/>
      <c r="G786" s="108"/>
    </row>
    <row r="787">
      <c r="B787" s="106"/>
      <c r="C787" s="107"/>
      <c r="D787" s="107"/>
      <c r="E787" s="107"/>
      <c r="F787" s="107"/>
      <c r="G787" s="108"/>
    </row>
    <row r="788">
      <c r="B788" s="106"/>
      <c r="C788" s="107"/>
      <c r="D788" s="107"/>
      <c r="E788" s="107"/>
      <c r="F788" s="107"/>
      <c r="G788" s="108"/>
    </row>
    <row r="789">
      <c r="B789" s="106"/>
      <c r="C789" s="107"/>
      <c r="D789" s="107"/>
      <c r="E789" s="107"/>
      <c r="F789" s="107"/>
      <c r="G789" s="108"/>
    </row>
    <row r="790">
      <c r="B790" s="106"/>
      <c r="C790" s="107"/>
      <c r="D790" s="107"/>
      <c r="E790" s="107"/>
      <c r="F790" s="107"/>
      <c r="G790" s="108"/>
    </row>
    <row r="791">
      <c r="B791" s="106"/>
      <c r="C791" s="107"/>
      <c r="D791" s="107"/>
      <c r="E791" s="107"/>
      <c r="F791" s="107"/>
      <c r="G791" s="108"/>
    </row>
    <row r="792">
      <c r="B792" s="106"/>
      <c r="C792" s="107"/>
      <c r="D792" s="107"/>
      <c r="E792" s="107"/>
      <c r="F792" s="107"/>
      <c r="G792" s="108"/>
    </row>
    <row r="793">
      <c r="B793" s="106"/>
      <c r="C793" s="107"/>
      <c r="D793" s="107"/>
      <c r="E793" s="107"/>
      <c r="F793" s="107"/>
      <c r="G793" s="108"/>
    </row>
    <row r="794">
      <c r="B794" s="106"/>
      <c r="C794" s="107"/>
      <c r="D794" s="107"/>
      <c r="E794" s="107"/>
      <c r="F794" s="107"/>
      <c r="G794" s="108"/>
    </row>
    <row r="795">
      <c r="B795" s="106"/>
      <c r="C795" s="107"/>
      <c r="D795" s="107"/>
      <c r="E795" s="107"/>
      <c r="F795" s="107"/>
      <c r="G795" s="108"/>
    </row>
    <row r="796">
      <c r="B796" s="106"/>
      <c r="C796" s="107"/>
      <c r="D796" s="107"/>
      <c r="E796" s="107"/>
      <c r="F796" s="107"/>
      <c r="G796" s="108"/>
    </row>
    <row r="797">
      <c r="B797" s="106"/>
      <c r="C797" s="107"/>
      <c r="D797" s="107"/>
      <c r="E797" s="107"/>
      <c r="F797" s="107"/>
      <c r="G797" s="108"/>
    </row>
    <row r="798">
      <c r="B798" s="106"/>
      <c r="C798" s="107"/>
      <c r="D798" s="107"/>
      <c r="E798" s="107"/>
      <c r="F798" s="107"/>
      <c r="G798" s="108"/>
    </row>
    <row r="799">
      <c r="B799" s="106"/>
      <c r="C799" s="107"/>
      <c r="D799" s="107"/>
      <c r="E799" s="107"/>
      <c r="F799" s="107"/>
      <c r="G799" s="108"/>
    </row>
    <row r="800">
      <c r="B800" s="106"/>
      <c r="C800" s="107"/>
      <c r="D800" s="107"/>
      <c r="E800" s="107"/>
      <c r="F800" s="107"/>
      <c r="G800" s="108"/>
    </row>
    <row r="801">
      <c r="B801" s="106"/>
      <c r="C801" s="107"/>
      <c r="D801" s="107"/>
      <c r="E801" s="107"/>
      <c r="F801" s="107"/>
      <c r="G801" s="108"/>
    </row>
    <row r="802">
      <c r="B802" s="106"/>
      <c r="C802" s="107"/>
      <c r="D802" s="107"/>
      <c r="E802" s="107"/>
      <c r="F802" s="107"/>
      <c r="G802" s="108"/>
    </row>
    <row r="803">
      <c r="B803" s="106"/>
      <c r="C803" s="107"/>
      <c r="D803" s="107"/>
      <c r="E803" s="107"/>
      <c r="F803" s="107"/>
      <c r="G803" s="108"/>
    </row>
    <row r="804">
      <c r="B804" s="106"/>
      <c r="C804" s="107"/>
      <c r="D804" s="107"/>
      <c r="E804" s="107"/>
      <c r="F804" s="107"/>
      <c r="G804" s="108"/>
    </row>
    <row r="805">
      <c r="B805" s="106"/>
      <c r="C805" s="107"/>
      <c r="D805" s="107"/>
      <c r="E805" s="107"/>
      <c r="F805" s="107"/>
      <c r="G805" s="108"/>
    </row>
    <row r="806">
      <c r="B806" s="106"/>
      <c r="C806" s="107"/>
      <c r="D806" s="107"/>
      <c r="E806" s="107"/>
      <c r="F806" s="107"/>
      <c r="G806" s="108"/>
    </row>
    <row r="807">
      <c r="B807" s="106"/>
      <c r="C807" s="107"/>
      <c r="D807" s="107"/>
      <c r="E807" s="107"/>
      <c r="F807" s="107"/>
      <c r="G807" s="108"/>
    </row>
    <row r="808">
      <c r="B808" s="106"/>
      <c r="C808" s="107"/>
      <c r="D808" s="107"/>
      <c r="E808" s="107"/>
      <c r="F808" s="107"/>
      <c r="G808" s="108"/>
    </row>
    <row r="809">
      <c r="B809" s="106"/>
      <c r="C809" s="107"/>
      <c r="D809" s="107"/>
      <c r="E809" s="107"/>
      <c r="F809" s="107"/>
      <c r="G809" s="108"/>
    </row>
    <row r="810">
      <c r="B810" s="106"/>
      <c r="C810" s="107"/>
      <c r="D810" s="107"/>
      <c r="E810" s="107"/>
      <c r="F810" s="107"/>
      <c r="G810" s="108"/>
    </row>
    <row r="811">
      <c r="B811" s="106"/>
      <c r="C811" s="107"/>
      <c r="D811" s="107"/>
      <c r="E811" s="107"/>
      <c r="F811" s="107"/>
      <c r="G811" s="108"/>
    </row>
    <row r="812">
      <c r="B812" s="106"/>
      <c r="C812" s="107"/>
      <c r="D812" s="107"/>
      <c r="E812" s="107"/>
      <c r="F812" s="107"/>
      <c r="G812" s="108"/>
    </row>
    <row r="813">
      <c r="B813" s="106"/>
      <c r="C813" s="107"/>
      <c r="D813" s="107"/>
      <c r="E813" s="107"/>
      <c r="F813" s="107"/>
      <c r="G813" s="108"/>
    </row>
    <row r="814">
      <c r="B814" s="106"/>
      <c r="C814" s="107"/>
      <c r="D814" s="107"/>
      <c r="E814" s="107"/>
      <c r="F814" s="107"/>
      <c r="G814" s="108"/>
    </row>
    <row r="815">
      <c r="B815" s="106"/>
      <c r="C815" s="107"/>
      <c r="D815" s="107"/>
      <c r="E815" s="107"/>
      <c r="F815" s="107"/>
      <c r="G815" s="108"/>
    </row>
    <row r="816">
      <c r="B816" s="106"/>
      <c r="C816" s="107"/>
      <c r="D816" s="107"/>
      <c r="E816" s="107"/>
      <c r="F816" s="107"/>
      <c r="G816" s="108"/>
    </row>
    <row r="817">
      <c r="B817" s="106"/>
      <c r="C817" s="107"/>
      <c r="D817" s="107"/>
      <c r="E817" s="107"/>
      <c r="F817" s="107"/>
      <c r="G817" s="108"/>
    </row>
    <row r="818">
      <c r="B818" s="106"/>
      <c r="C818" s="107"/>
      <c r="D818" s="107"/>
      <c r="E818" s="107"/>
      <c r="F818" s="107"/>
      <c r="G818" s="108"/>
    </row>
    <row r="819">
      <c r="B819" s="106"/>
      <c r="C819" s="107"/>
      <c r="D819" s="107"/>
      <c r="E819" s="107"/>
      <c r="F819" s="107"/>
      <c r="G819" s="108"/>
    </row>
    <row r="820">
      <c r="B820" s="106"/>
      <c r="C820" s="107"/>
      <c r="D820" s="107"/>
      <c r="E820" s="107"/>
      <c r="F820" s="107"/>
      <c r="G820" s="108"/>
    </row>
    <row r="821">
      <c r="B821" s="106"/>
      <c r="C821" s="107"/>
      <c r="D821" s="107"/>
      <c r="E821" s="107"/>
      <c r="F821" s="107"/>
      <c r="G821" s="108"/>
    </row>
    <row r="822">
      <c r="B822" s="106"/>
      <c r="C822" s="107"/>
      <c r="D822" s="107"/>
      <c r="E822" s="107"/>
      <c r="F822" s="107"/>
      <c r="G822" s="108"/>
    </row>
    <row r="823">
      <c r="B823" s="106"/>
      <c r="C823" s="107"/>
      <c r="D823" s="107"/>
      <c r="E823" s="107"/>
      <c r="F823" s="107"/>
      <c r="G823" s="108"/>
    </row>
    <row r="824">
      <c r="B824" s="106"/>
      <c r="C824" s="107"/>
      <c r="D824" s="107"/>
      <c r="E824" s="107"/>
      <c r="F824" s="107"/>
      <c r="G824" s="108"/>
    </row>
    <row r="825">
      <c r="B825" s="106"/>
      <c r="C825" s="107"/>
      <c r="D825" s="107"/>
      <c r="E825" s="107"/>
      <c r="F825" s="107"/>
      <c r="G825" s="108"/>
    </row>
    <row r="826">
      <c r="B826" s="106"/>
      <c r="C826" s="107"/>
      <c r="D826" s="107"/>
      <c r="E826" s="107"/>
      <c r="F826" s="107"/>
      <c r="G826" s="108"/>
    </row>
    <row r="827">
      <c r="B827" s="106"/>
      <c r="C827" s="107"/>
      <c r="D827" s="107"/>
      <c r="E827" s="107"/>
      <c r="F827" s="107"/>
      <c r="G827" s="108"/>
    </row>
    <row r="828">
      <c r="B828" s="106"/>
      <c r="C828" s="107"/>
      <c r="D828" s="107"/>
      <c r="E828" s="107"/>
      <c r="F828" s="107"/>
      <c r="G828" s="108"/>
    </row>
    <row r="829">
      <c r="B829" s="106"/>
      <c r="C829" s="107"/>
      <c r="D829" s="107"/>
      <c r="E829" s="107"/>
      <c r="F829" s="107"/>
      <c r="G829" s="108"/>
    </row>
    <row r="830">
      <c r="B830" s="106"/>
      <c r="C830" s="107"/>
      <c r="D830" s="107"/>
      <c r="E830" s="107"/>
      <c r="F830" s="107"/>
      <c r="G830" s="108"/>
    </row>
    <row r="831">
      <c r="B831" s="106"/>
      <c r="C831" s="107"/>
      <c r="D831" s="107"/>
      <c r="E831" s="107"/>
      <c r="F831" s="107"/>
      <c r="G831" s="108"/>
    </row>
    <row r="832">
      <c r="B832" s="106"/>
      <c r="C832" s="107"/>
      <c r="D832" s="107"/>
      <c r="E832" s="107"/>
      <c r="F832" s="107"/>
      <c r="G832" s="108"/>
    </row>
    <row r="833">
      <c r="B833" s="106"/>
      <c r="C833" s="107"/>
      <c r="D833" s="107"/>
      <c r="E833" s="107"/>
      <c r="F833" s="107"/>
      <c r="G833" s="108"/>
    </row>
    <row r="834">
      <c r="B834" s="106"/>
      <c r="C834" s="107"/>
      <c r="D834" s="107"/>
      <c r="E834" s="107"/>
      <c r="F834" s="107"/>
      <c r="G834" s="108"/>
    </row>
    <row r="835">
      <c r="B835" s="106"/>
      <c r="C835" s="107"/>
      <c r="D835" s="107"/>
      <c r="E835" s="107"/>
      <c r="F835" s="107"/>
      <c r="G835" s="108"/>
    </row>
    <row r="836">
      <c r="B836" s="106"/>
      <c r="C836" s="107"/>
      <c r="D836" s="107"/>
      <c r="E836" s="107"/>
      <c r="F836" s="107"/>
      <c r="G836" s="108"/>
    </row>
    <row r="837">
      <c r="B837" s="106"/>
      <c r="C837" s="107"/>
      <c r="D837" s="107"/>
      <c r="E837" s="107"/>
      <c r="F837" s="107"/>
      <c r="G837" s="108"/>
    </row>
    <row r="838">
      <c r="B838" s="106"/>
      <c r="C838" s="107"/>
      <c r="D838" s="107"/>
      <c r="E838" s="107"/>
      <c r="F838" s="107"/>
      <c r="G838" s="108"/>
    </row>
    <row r="839">
      <c r="B839" s="106"/>
      <c r="C839" s="107"/>
      <c r="D839" s="107"/>
      <c r="E839" s="107"/>
      <c r="F839" s="107"/>
      <c r="G839" s="108"/>
    </row>
    <row r="840">
      <c r="B840" s="106"/>
      <c r="C840" s="107"/>
      <c r="D840" s="107"/>
      <c r="E840" s="107"/>
      <c r="F840" s="107"/>
      <c r="G840" s="108"/>
    </row>
    <row r="841">
      <c r="B841" s="106"/>
      <c r="C841" s="107"/>
      <c r="D841" s="107"/>
      <c r="E841" s="107"/>
      <c r="F841" s="107"/>
      <c r="G841" s="108"/>
    </row>
    <row r="842">
      <c r="B842" s="106"/>
      <c r="C842" s="107"/>
      <c r="D842" s="107"/>
      <c r="E842" s="107"/>
      <c r="F842" s="107"/>
      <c r="G842" s="108"/>
    </row>
    <row r="843">
      <c r="B843" s="106"/>
      <c r="C843" s="107"/>
      <c r="D843" s="107"/>
      <c r="E843" s="107"/>
      <c r="F843" s="107"/>
      <c r="G843" s="108"/>
    </row>
    <row r="844">
      <c r="B844" s="106"/>
      <c r="C844" s="107"/>
      <c r="D844" s="107"/>
      <c r="E844" s="107"/>
      <c r="F844" s="107"/>
      <c r="G844" s="108"/>
    </row>
    <row r="845">
      <c r="B845" s="106"/>
      <c r="C845" s="107"/>
      <c r="D845" s="107"/>
      <c r="E845" s="107"/>
      <c r="F845" s="107"/>
      <c r="G845" s="108"/>
    </row>
    <row r="846">
      <c r="B846" s="106"/>
      <c r="C846" s="107"/>
      <c r="D846" s="107"/>
      <c r="E846" s="107"/>
      <c r="F846" s="107"/>
      <c r="G846" s="108"/>
    </row>
    <row r="847">
      <c r="B847" s="106"/>
      <c r="C847" s="107"/>
      <c r="D847" s="107"/>
      <c r="E847" s="107"/>
      <c r="F847" s="107"/>
      <c r="G847" s="108"/>
    </row>
    <row r="848">
      <c r="B848" s="106"/>
      <c r="C848" s="107"/>
      <c r="D848" s="107"/>
      <c r="E848" s="107"/>
      <c r="F848" s="107"/>
      <c r="G848" s="108"/>
    </row>
    <row r="849">
      <c r="B849" s="106"/>
      <c r="C849" s="107"/>
      <c r="D849" s="107"/>
      <c r="E849" s="107"/>
      <c r="F849" s="107"/>
      <c r="G849" s="108"/>
    </row>
    <row r="850">
      <c r="B850" s="106"/>
      <c r="C850" s="107"/>
      <c r="D850" s="107"/>
      <c r="E850" s="107"/>
      <c r="F850" s="107"/>
      <c r="G850" s="108"/>
    </row>
    <row r="851">
      <c r="B851" s="106"/>
      <c r="C851" s="107"/>
      <c r="D851" s="107"/>
      <c r="E851" s="107"/>
      <c r="F851" s="107"/>
      <c r="G851" s="108"/>
    </row>
    <row r="852">
      <c r="B852" s="106"/>
      <c r="C852" s="107"/>
      <c r="D852" s="107"/>
      <c r="E852" s="107"/>
      <c r="F852" s="107"/>
      <c r="G852" s="108"/>
    </row>
    <row r="853">
      <c r="B853" s="106"/>
      <c r="C853" s="107"/>
      <c r="D853" s="107"/>
      <c r="E853" s="107"/>
      <c r="F853" s="107"/>
      <c r="G853" s="108"/>
    </row>
    <row r="854">
      <c r="B854" s="106"/>
      <c r="C854" s="107"/>
      <c r="D854" s="107"/>
      <c r="E854" s="107"/>
      <c r="F854" s="107"/>
      <c r="G854" s="108"/>
    </row>
    <row r="855">
      <c r="B855" s="106"/>
      <c r="C855" s="107"/>
      <c r="D855" s="107"/>
      <c r="E855" s="107"/>
      <c r="F855" s="107"/>
      <c r="G855" s="108"/>
    </row>
    <row r="856">
      <c r="B856" s="106"/>
      <c r="C856" s="107"/>
      <c r="D856" s="107"/>
      <c r="E856" s="107"/>
      <c r="F856" s="107"/>
      <c r="G856" s="108"/>
    </row>
    <row r="857">
      <c r="B857" s="106"/>
      <c r="C857" s="107"/>
      <c r="D857" s="107"/>
      <c r="E857" s="107"/>
      <c r="F857" s="107"/>
      <c r="G857" s="108"/>
    </row>
    <row r="858">
      <c r="B858" s="106"/>
      <c r="C858" s="107"/>
      <c r="D858" s="107"/>
      <c r="E858" s="107"/>
      <c r="F858" s="107"/>
      <c r="G858" s="108"/>
    </row>
    <row r="859">
      <c r="B859" s="106"/>
      <c r="C859" s="107"/>
      <c r="D859" s="107"/>
      <c r="E859" s="107"/>
      <c r="F859" s="107"/>
      <c r="G859" s="108"/>
    </row>
    <row r="860">
      <c r="B860" s="106"/>
      <c r="C860" s="107"/>
      <c r="D860" s="107"/>
      <c r="E860" s="107"/>
      <c r="F860" s="107"/>
      <c r="G860" s="108"/>
    </row>
    <row r="861">
      <c r="B861" s="106"/>
      <c r="C861" s="107"/>
      <c r="D861" s="107"/>
      <c r="E861" s="107"/>
      <c r="F861" s="107"/>
      <c r="G861" s="108"/>
    </row>
    <row r="862">
      <c r="B862" s="106"/>
      <c r="C862" s="107"/>
      <c r="D862" s="107"/>
      <c r="E862" s="107"/>
      <c r="F862" s="107"/>
      <c r="G862" s="108"/>
    </row>
    <row r="863">
      <c r="B863" s="106"/>
      <c r="C863" s="107"/>
      <c r="D863" s="107"/>
      <c r="E863" s="107"/>
      <c r="F863" s="107"/>
      <c r="G863" s="108"/>
    </row>
    <row r="864">
      <c r="B864" s="106"/>
      <c r="C864" s="107"/>
      <c r="D864" s="107"/>
      <c r="E864" s="107"/>
      <c r="F864" s="107"/>
      <c r="G864" s="108"/>
    </row>
    <row r="865">
      <c r="B865" s="106"/>
      <c r="C865" s="107"/>
      <c r="D865" s="107"/>
      <c r="E865" s="107"/>
      <c r="F865" s="107"/>
      <c r="G865" s="108"/>
    </row>
    <row r="866">
      <c r="B866" s="106"/>
      <c r="C866" s="107"/>
      <c r="D866" s="107"/>
      <c r="E866" s="107"/>
      <c r="F866" s="107"/>
      <c r="G866" s="108"/>
    </row>
    <row r="867">
      <c r="B867" s="106"/>
      <c r="C867" s="107"/>
      <c r="D867" s="107"/>
      <c r="E867" s="107"/>
      <c r="F867" s="107"/>
      <c r="G867" s="108"/>
    </row>
    <row r="868">
      <c r="B868" s="106"/>
      <c r="C868" s="107"/>
      <c r="D868" s="107"/>
      <c r="E868" s="107"/>
      <c r="F868" s="107"/>
      <c r="G868" s="108"/>
    </row>
    <row r="869">
      <c r="B869" s="106"/>
      <c r="C869" s="107"/>
      <c r="D869" s="107"/>
      <c r="E869" s="107"/>
      <c r="F869" s="107"/>
      <c r="G869" s="108"/>
    </row>
    <row r="870">
      <c r="B870" s="106"/>
      <c r="C870" s="107"/>
      <c r="D870" s="107"/>
      <c r="E870" s="107"/>
      <c r="F870" s="107"/>
      <c r="G870" s="108"/>
    </row>
    <row r="871">
      <c r="B871" s="106"/>
      <c r="C871" s="107"/>
      <c r="D871" s="107"/>
      <c r="E871" s="107"/>
      <c r="F871" s="107"/>
      <c r="G871" s="108"/>
    </row>
    <row r="872">
      <c r="B872" s="106"/>
      <c r="C872" s="107"/>
      <c r="D872" s="107"/>
      <c r="E872" s="107"/>
      <c r="F872" s="107"/>
      <c r="G872" s="108"/>
    </row>
    <row r="873">
      <c r="B873" s="106"/>
      <c r="C873" s="107"/>
      <c r="D873" s="107"/>
      <c r="E873" s="107"/>
      <c r="F873" s="107"/>
      <c r="G873" s="108"/>
    </row>
    <row r="874">
      <c r="B874" s="106"/>
      <c r="C874" s="107"/>
      <c r="D874" s="107"/>
      <c r="E874" s="107"/>
      <c r="F874" s="107"/>
      <c r="G874" s="108"/>
    </row>
    <row r="875">
      <c r="B875" s="106"/>
      <c r="C875" s="107"/>
      <c r="D875" s="107"/>
      <c r="E875" s="107"/>
      <c r="F875" s="107"/>
      <c r="G875" s="108"/>
    </row>
    <row r="876">
      <c r="B876" s="106"/>
      <c r="C876" s="107"/>
      <c r="D876" s="107"/>
      <c r="E876" s="107"/>
      <c r="F876" s="107"/>
      <c r="G876" s="108"/>
    </row>
    <row r="877">
      <c r="B877" s="106"/>
      <c r="C877" s="107"/>
      <c r="D877" s="107"/>
      <c r="E877" s="107"/>
      <c r="F877" s="107"/>
      <c r="G877" s="108"/>
    </row>
    <row r="878">
      <c r="B878" s="106"/>
      <c r="C878" s="107"/>
      <c r="D878" s="107"/>
      <c r="E878" s="107"/>
      <c r="F878" s="107"/>
      <c r="G878" s="108"/>
    </row>
    <row r="879">
      <c r="B879" s="106"/>
      <c r="C879" s="107"/>
      <c r="D879" s="107"/>
      <c r="E879" s="107"/>
      <c r="F879" s="107"/>
      <c r="G879" s="108"/>
    </row>
    <row r="880">
      <c r="B880" s="106"/>
      <c r="C880" s="107"/>
      <c r="D880" s="107"/>
      <c r="E880" s="107"/>
      <c r="F880" s="107"/>
      <c r="G880" s="108"/>
    </row>
    <row r="881">
      <c r="B881" s="106"/>
      <c r="C881" s="107"/>
      <c r="D881" s="107"/>
      <c r="E881" s="107"/>
      <c r="F881" s="107"/>
      <c r="G881" s="108"/>
    </row>
    <row r="882">
      <c r="B882" s="106"/>
      <c r="C882" s="107"/>
      <c r="D882" s="107"/>
      <c r="E882" s="107"/>
      <c r="F882" s="107"/>
      <c r="G882" s="108"/>
    </row>
    <row r="883">
      <c r="B883" s="106"/>
      <c r="C883" s="107"/>
      <c r="D883" s="107"/>
      <c r="E883" s="107"/>
      <c r="F883" s="107"/>
      <c r="G883" s="108"/>
    </row>
    <row r="884">
      <c r="B884" s="106"/>
      <c r="C884" s="107"/>
      <c r="D884" s="107"/>
      <c r="E884" s="107"/>
      <c r="F884" s="107"/>
      <c r="G884" s="108"/>
    </row>
    <row r="885">
      <c r="B885" s="106"/>
      <c r="C885" s="107"/>
      <c r="D885" s="107"/>
      <c r="E885" s="107"/>
      <c r="F885" s="107"/>
      <c r="G885" s="108"/>
    </row>
    <row r="886">
      <c r="B886" s="106"/>
      <c r="C886" s="107"/>
      <c r="D886" s="107"/>
      <c r="E886" s="107"/>
      <c r="F886" s="107"/>
      <c r="G886" s="108"/>
    </row>
    <row r="887">
      <c r="B887" s="106"/>
      <c r="C887" s="107"/>
      <c r="D887" s="107"/>
      <c r="E887" s="107"/>
      <c r="F887" s="107"/>
      <c r="G887" s="108"/>
    </row>
    <row r="888">
      <c r="B888" s="106"/>
      <c r="C888" s="107"/>
      <c r="D888" s="107"/>
      <c r="E888" s="107"/>
      <c r="F888" s="107"/>
      <c r="G888" s="108"/>
    </row>
    <row r="889">
      <c r="B889" s="106"/>
      <c r="C889" s="107"/>
      <c r="D889" s="107"/>
      <c r="E889" s="107"/>
      <c r="F889" s="107"/>
      <c r="G889" s="108"/>
    </row>
    <row r="890">
      <c r="B890" s="106"/>
      <c r="C890" s="107"/>
      <c r="D890" s="107"/>
      <c r="E890" s="107"/>
      <c r="F890" s="107"/>
      <c r="G890" s="108"/>
    </row>
    <row r="891">
      <c r="B891" s="106"/>
      <c r="C891" s="107"/>
      <c r="D891" s="107"/>
      <c r="E891" s="107"/>
      <c r="F891" s="107"/>
      <c r="G891" s="108"/>
    </row>
    <row r="892">
      <c r="B892" s="106"/>
      <c r="C892" s="107"/>
      <c r="D892" s="107"/>
      <c r="E892" s="107"/>
      <c r="F892" s="107"/>
      <c r="G892" s="108"/>
    </row>
    <row r="893">
      <c r="B893" s="106"/>
      <c r="C893" s="107"/>
      <c r="D893" s="107"/>
      <c r="E893" s="107"/>
      <c r="F893" s="107"/>
      <c r="G893" s="108"/>
    </row>
    <row r="894">
      <c r="B894" s="106"/>
      <c r="C894" s="107"/>
      <c r="D894" s="107"/>
      <c r="E894" s="107"/>
      <c r="F894" s="107"/>
      <c r="G894" s="108"/>
    </row>
    <row r="895">
      <c r="B895" s="106"/>
      <c r="C895" s="107"/>
      <c r="D895" s="107"/>
      <c r="E895" s="107"/>
      <c r="F895" s="107"/>
      <c r="G895" s="108"/>
    </row>
    <row r="896">
      <c r="B896" s="106"/>
      <c r="C896" s="107"/>
      <c r="D896" s="107"/>
      <c r="E896" s="107"/>
      <c r="F896" s="107"/>
      <c r="G896" s="108"/>
    </row>
    <row r="897">
      <c r="B897" s="106"/>
      <c r="C897" s="107"/>
      <c r="D897" s="107"/>
      <c r="E897" s="107"/>
      <c r="F897" s="107"/>
      <c r="G897" s="108"/>
    </row>
    <row r="898">
      <c r="B898" s="106"/>
      <c r="C898" s="107"/>
      <c r="D898" s="107"/>
      <c r="E898" s="107"/>
      <c r="F898" s="107"/>
      <c r="G898" s="108"/>
    </row>
    <row r="899">
      <c r="B899" s="106"/>
      <c r="C899" s="107"/>
      <c r="D899" s="107"/>
      <c r="E899" s="107"/>
      <c r="F899" s="107"/>
      <c r="G899" s="108"/>
    </row>
    <row r="900">
      <c r="B900" s="106"/>
      <c r="C900" s="107"/>
      <c r="D900" s="107"/>
      <c r="E900" s="107"/>
      <c r="F900" s="107"/>
      <c r="G900" s="108"/>
    </row>
    <row r="901">
      <c r="B901" s="106"/>
      <c r="C901" s="107"/>
      <c r="D901" s="107"/>
      <c r="E901" s="107"/>
      <c r="F901" s="107"/>
      <c r="G901" s="108"/>
    </row>
    <row r="902">
      <c r="B902" s="106"/>
      <c r="C902" s="107"/>
      <c r="D902" s="107"/>
      <c r="E902" s="107"/>
      <c r="F902" s="107"/>
      <c r="G902" s="108"/>
    </row>
    <row r="903">
      <c r="B903" s="106"/>
      <c r="C903" s="107"/>
      <c r="D903" s="107"/>
      <c r="E903" s="107"/>
      <c r="F903" s="107"/>
      <c r="G903" s="108"/>
    </row>
    <row r="904">
      <c r="B904" s="106"/>
      <c r="C904" s="107"/>
      <c r="D904" s="107"/>
      <c r="E904" s="107"/>
      <c r="F904" s="107"/>
      <c r="G904" s="108"/>
    </row>
    <row r="905">
      <c r="B905" s="106"/>
      <c r="C905" s="107"/>
      <c r="D905" s="107"/>
      <c r="E905" s="107"/>
      <c r="F905" s="107"/>
      <c r="G905" s="108"/>
    </row>
    <row r="906">
      <c r="B906" s="106"/>
      <c r="C906" s="107"/>
      <c r="D906" s="107"/>
      <c r="E906" s="107"/>
      <c r="F906" s="107"/>
      <c r="G906" s="108"/>
    </row>
    <row r="907">
      <c r="B907" s="106"/>
      <c r="C907" s="107"/>
      <c r="D907" s="107"/>
      <c r="E907" s="107"/>
      <c r="F907" s="107"/>
      <c r="G907" s="108"/>
    </row>
    <row r="908">
      <c r="B908" s="106"/>
      <c r="C908" s="107"/>
      <c r="D908" s="107"/>
      <c r="E908" s="107"/>
      <c r="F908" s="107"/>
      <c r="G908" s="108"/>
    </row>
    <row r="909">
      <c r="B909" s="106"/>
      <c r="C909" s="107"/>
      <c r="D909" s="107"/>
      <c r="E909" s="107"/>
      <c r="F909" s="107"/>
      <c r="G909" s="108"/>
    </row>
    <row r="910">
      <c r="B910" s="106"/>
      <c r="C910" s="107"/>
      <c r="D910" s="107"/>
      <c r="E910" s="107"/>
      <c r="F910" s="107"/>
      <c r="G910" s="108"/>
    </row>
    <row r="911">
      <c r="B911" s="106"/>
      <c r="C911" s="107"/>
      <c r="D911" s="107"/>
      <c r="E911" s="107"/>
      <c r="F911" s="107"/>
      <c r="G911" s="108"/>
    </row>
    <row r="912">
      <c r="B912" s="106"/>
      <c r="C912" s="107"/>
      <c r="D912" s="107"/>
      <c r="E912" s="107"/>
      <c r="F912" s="107"/>
      <c r="G912" s="108"/>
    </row>
    <row r="913">
      <c r="B913" s="106"/>
      <c r="C913" s="107"/>
      <c r="D913" s="107"/>
      <c r="E913" s="107"/>
      <c r="F913" s="107"/>
      <c r="G913" s="108"/>
    </row>
    <row r="914">
      <c r="B914" s="106"/>
      <c r="C914" s="107"/>
      <c r="D914" s="107"/>
      <c r="E914" s="107"/>
      <c r="F914" s="107"/>
      <c r="G914" s="108"/>
    </row>
    <row r="915">
      <c r="B915" s="106"/>
      <c r="C915" s="107"/>
      <c r="D915" s="107"/>
      <c r="E915" s="107"/>
      <c r="F915" s="107"/>
      <c r="G915" s="108"/>
    </row>
    <row r="916">
      <c r="B916" s="106"/>
      <c r="C916" s="107"/>
      <c r="D916" s="107"/>
      <c r="E916" s="107"/>
      <c r="F916" s="107"/>
      <c r="G916" s="108"/>
    </row>
    <row r="917">
      <c r="B917" s="106"/>
      <c r="C917" s="107"/>
      <c r="D917" s="107"/>
      <c r="E917" s="107"/>
      <c r="F917" s="107"/>
      <c r="G917" s="108"/>
    </row>
    <row r="918">
      <c r="B918" s="106"/>
      <c r="C918" s="107"/>
      <c r="D918" s="107"/>
      <c r="E918" s="107"/>
      <c r="F918" s="107"/>
      <c r="G918" s="108"/>
    </row>
    <row r="919">
      <c r="B919" s="106"/>
      <c r="C919" s="107"/>
      <c r="D919" s="107"/>
      <c r="E919" s="107"/>
      <c r="F919" s="107"/>
      <c r="G919" s="108"/>
    </row>
    <row r="920">
      <c r="B920" s="106"/>
      <c r="C920" s="107"/>
      <c r="D920" s="107"/>
      <c r="E920" s="107"/>
      <c r="F920" s="107"/>
      <c r="G920" s="108"/>
    </row>
    <row r="921">
      <c r="B921" s="106"/>
      <c r="C921" s="107"/>
      <c r="D921" s="107"/>
      <c r="E921" s="107"/>
      <c r="F921" s="107"/>
      <c r="G921" s="108"/>
    </row>
    <row r="922">
      <c r="B922" s="106"/>
      <c r="C922" s="107"/>
      <c r="D922" s="107"/>
      <c r="E922" s="107"/>
      <c r="F922" s="107"/>
      <c r="G922" s="108"/>
    </row>
    <row r="923">
      <c r="B923" s="106"/>
      <c r="C923" s="107"/>
      <c r="D923" s="107"/>
      <c r="E923" s="107"/>
      <c r="F923" s="107"/>
      <c r="G923" s="108"/>
    </row>
    <row r="924">
      <c r="B924" s="106"/>
      <c r="C924" s="107"/>
      <c r="D924" s="107"/>
      <c r="E924" s="107"/>
      <c r="F924" s="107"/>
      <c r="G924" s="108"/>
    </row>
    <row r="925">
      <c r="B925" s="106"/>
      <c r="C925" s="107"/>
      <c r="D925" s="107"/>
      <c r="E925" s="107"/>
      <c r="F925" s="107"/>
      <c r="G925" s="108"/>
    </row>
    <row r="926">
      <c r="B926" s="106"/>
      <c r="C926" s="107"/>
      <c r="D926" s="107"/>
      <c r="E926" s="107"/>
      <c r="F926" s="107"/>
      <c r="G926" s="108"/>
    </row>
    <row r="927">
      <c r="B927" s="106"/>
      <c r="C927" s="107"/>
      <c r="D927" s="107"/>
      <c r="E927" s="107"/>
      <c r="F927" s="107"/>
      <c r="G927" s="108"/>
    </row>
    <row r="928">
      <c r="B928" s="106"/>
      <c r="C928" s="107"/>
      <c r="D928" s="107"/>
      <c r="E928" s="107"/>
      <c r="F928" s="107"/>
      <c r="G928" s="108"/>
    </row>
    <row r="929">
      <c r="B929" s="106"/>
      <c r="C929" s="107"/>
      <c r="D929" s="107"/>
      <c r="E929" s="107"/>
      <c r="F929" s="107"/>
      <c r="G929" s="108"/>
    </row>
    <row r="930">
      <c r="B930" s="106"/>
      <c r="C930" s="107"/>
      <c r="D930" s="107"/>
      <c r="E930" s="107"/>
      <c r="F930" s="107"/>
      <c r="G930" s="108"/>
    </row>
    <row r="931">
      <c r="B931" s="106"/>
      <c r="C931" s="107"/>
      <c r="D931" s="107"/>
      <c r="E931" s="107"/>
      <c r="F931" s="107"/>
      <c r="G931" s="108"/>
    </row>
    <row r="932">
      <c r="B932" s="106"/>
      <c r="C932" s="107"/>
      <c r="D932" s="107"/>
      <c r="E932" s="107"/>
      <c r="F932" s="107"/>
      <c r="G932" s="108"/>
    </row>
    <row r="933">
      <c r="B933" s="106"/>
      <c r="C933" s="107"/>
      <c r="D933" s="107"/>
      <c r="E933" s="107"/>
      <c r="F933" s="107"/>
      <c r="G933" s="108"/>
    </row>
    <row r="934">
      <c r="B934" s="106"/>
      <c r="C934" s="107"/>
      <c r="D934" s="107"/>
      <c r="E934" s="107"/>
      <c r="F934" s="107"/>
      <c r="G934" s="108"/>
    </row>
    <row r="935">
      <c r="B935" s="106"/>
      <c r="C935" s="107"/>
      <c r="D935" s="107"/>
      <c r="E935" s="107"/>
      <c r="F935" s="107"/>
      <c r="G935" s="108"/>
    </row>
    <row r="936">
      <c r="B936" s="106"/>
      <c r="C936" s="107"/>
      <c r="D936" s="107"/>
      <c r="E936" s="107"/>
      <c r="F936" s="107"/>
      <c r="G936" s="108"/>
    </row>
    <row r="937">
      <c r="B937" s="106"/>
      <c r="C937" s="107"/>
      <c r="D937" s="107"/>
      <c r="E937" s="107"/>
      <c r="F937" s="107"/>
      <c r="G937" s="108"/>
    </row>
    <row r="938">
      <c r="B938" s="106"/>
      <c r="C938" s="107"/>
      <c r="D938" s="107"/>
      <c r="E938" s="107"/>
      <c r="F938" s="107"/>
      <c r="G938" s="108"/>
    </row>
    <row r="939">
      <c r="B939" s="106"/>
      <c r="C939" s="107"/>
      <c r="D939" s="107"/>
      <c r="E939" s="107"/>
      <c r="F939" s="107"/>
      <c r="G939" s="108"/>
    </row>
    <row r="940">
      <c r="B940" s="106"/>
      <c r="C940" s="107"/>
      <c r="D940" s="107"/>
      <c r="E940" s="107"/>
      <c r="F940" s="107"/>
      <c r="G940" s="108"/>
    </row>
    <row r="941">
      <c r="B941" s="106"/>
      <c r="C941" s="107"/>
      <c r="D941" s="107"/>
      <c r="E941" s="107"/>
      <c r="F941" s="107"/>
      <c r="G941" s="108"/>
    </row>
    <row r="942">
      <c r="B942" s="106"/>
      <c r="C942" s="107"/>
      <c r="D942" s="107"/>
      <c r="E942" s="107"/>
      <c r="F942" s="107"/>
      <c r="G942" s="108"/>
    </row>
    <row r="943">
      <c r="B943" s="106"/>
      <c r="C943" s="107"/>
      <c r="D943" s="107"/>
      <c r="E943" s="107"/>
      <c r="F943" s="107"/>
      <c r="G943" s="108"/>
    </row>
    <row r="944">
      <c r="B944" s="106"/>
      <c r="C944" s="107"/>
      <c r="D944" s="107"/>
      <c r="E944" s="107"/>
      <c r="F944" s="107"/>
      <c r="G944" s="108"/>
    </row>
    <row r="945">
      <c r="B945" s="106"/>
      <c r="C945" s="107"/>
      <c r="D945" s="107"/>
      <c r="E945" s="107"/>
      <c r="F945" s="107"/>
      <c r="G945" s="108"/>
    </row>
    <row r="946">
      <c r="B946" s="106"/>
      <c r="C946" s="107"/>
      <c r="D946" s="107"/>
      <c r="E946" s="107"/>
      <c r="F946" s="107"/>
      <c r="G946" s="108"/>
    </row>
    <row r="947">
      <c r="B947" s="106"/>
      <c r="C947" s="107"/>
      <c r="D947" s="107"/>
      <c r="E947" s="107"/>
      <c r="F947" s="107"/>
      <c r="G947" s="108"/>
    </row>
    <row r="948">
      <c r="B948" s="106"/>
      <c r="C948" s="107"/>
      <c r="D948" s="107"/>
      <c r="E948" s="107"/>
      <c r="F948" s="107"/>
      <c r="G948" s="108"/>
    </row>
    <row r="949">
      <c r="B949" s="106"/>
      <c r="C949" s="107"/>
      <c r="D949" s="107"/>
      <c r="E949" s="107"/>
      <c r="F949" s="107"/>
      <c r="G949" s="108"/>
    </row>
    <row r="950">
      <c r="B950" s="106"/>
      <c r="C950" s="107"/>
      <c r="D950" s="107"/>
      <c r="E950" s="107"/>
      <c r="F950" s="107"/>
      <c r="G950" s="108"/>
    </row>
    <row r="951">
      <c r="B951" s="106"/>
      <c r="C951" s="107"/>
      <c r="D951" s="107"/>
      <c r="E951" s="107"/>
      <c r="F951" s="107"/>
      <c r="G951" s="108"/>
    </row>
    <row r="952">
      <c r="B952" s="106"/>
      <c r="C952" s="107"/>
      <c r="D952" s="107"/>
      <c r="E952" s="107"/>
      <c r="F952" s="107"/>
      <c r="G952" s="108"/>
    </row>
    <row r="953">
      <c r="B953" s="106"/>
      <c r="C953" s="107"/>
      <c r="D953" s="107"/>
      <c r="E953" s="107"/>
      <c r="F953" s="107"/>
      <c r="G953" s="108"/>
    </row>
    <row r="954">
      <c r="B954" s="106"/>
      <c r="C954" s="107"/>
      <c r="D954" s="107"/>
      <c r="E954" s="107"/>
      <c r="F954" s="107"/>
      <c r="G954" s="108"/>
    </row>
    <row r="955">
      <c r="B955" s="106"/>
      <c r="C955" s="107"/>
      <c r="D955" s="107"/>
      <c r="E955" s="107"/>
      <c r="F955" s="107"/>
      <c r="G955" s="108"/>
    </row>
    <row r="956">
      <c r="B956" s="106"/>
      <c r="C956" s="107"/>
      <c r="D956" s="107"/>
      <c r="E956" s="107"/>
      <c r="F956" s="107"/>
      <c r="G956" s="108"/>
    </row>
    <row r="957">
      <c r="B957" s="106"/>
      <c r="C957" s="107"/>
      <c r="D957" s="107"/>
      <c r="E957" s="107"/>
      <c r="F957" s="107"/>
      <c r="G957" s="108"/>
    </row>
    <row r="958">
      <c r="B958" s="106"/>
      <c r="C958" s="107"/>
      <c r="D958" s="107"/>
      <c r="E958" s="107"/>
      <c r="F958" s="107"/>
      <c r="G958" s="108"/>
    </row>
    <row r="959">
      <c r="B959" s="106"/>
      <c r="C959" s="107"/>
      <c r="D959" s="107"/>
      <c r="E959" s="107"/>
      <c r="F959" s="107"/>
      <c r="G959" s="108"/>
    </row>
    <row r="960">
      <c r="B960" s="106"/>
      <c r="C960" s="107"/>
      <c r="D960" s="107"/>
      <c r="E960" s="107"/>
      <c r="F960" s="107"/>
      <c r="G960" s="108"/>
    </row>
    <row r="961">
      <c r="B961" s="106"/>
      <c r="C961" s="107"/>
      <c r="D961" s="107"/>
      <c r="E961" s="107"/>
      <c r="F961" s="107"/>
      <c r="G961" s="108"/>
    </row>
    <row r="962">
      <c r="B962" s="106"/>
      <c r="C962" s="107"/>
      <c r="D962" s="107"/>
      <c r="E962" s="107"/>
      <c r="F962" s="107"/>
      <c r="G962" s="108"/>
    </row>
    <row r="963">
      <c r="B963" s="106"/>
      <c r="C963" s="107"/>
      <c r="D963" s="107"/>
      <c r="E963" s="107"/>
      <c r="F963" s="107"/>
      <c r="G963" s="108"/>
    </row>
    <row r="964">
      <c r="B964" s="106"/>
      <c r="C964" s="107"/>
      <c r="D964" s="107"/>
      <c r="E964" s="107"/>
      <c r="F964" s="107"/>
      <c r="G964" s="108"/>
    </row>
    <row r="965">
      <c r="B965" s="106"/>
      <c r="C965" s="107"/>
      <c r="D965" s="107"/>
      <c r="E965" s="107"/>
      <c r="F965" s="107"/>
      <c r="G965" s="108"/>
    </row>
    <row r="966">
      <c r="B966" s="106"/>
      <c r="C966" s="107"/>
      <c r="D966" s="107"/>
      <c r="E966" s="107"/>
      <c r="F966" s="107"/>
      <c r="G966" s="108"/>
    </row>
    <row r="967">
      <c r="B967" s="106"/>
      <c r="C967" s="107"/>
      <c r="D967" s="107"/>
      <c r="E967" s="107"/>
      <c r="F967" s="107"/>
      <c r="G967" s="108"/>
    </row>
    <row r="968">
      <c r="B968" s="106"/>
      <c r="C968" s="107"/>
      <c r="D968" s="107"/>
      <c r="E968" s="107"/>
      <c r="F968" s="107"/>
      <c r="G968" s="108"/>
    </row>
    <row r="969">
      <c r="B969" s="106"/>
      <c r="C969" s="107"/>
      <c r="D969" s="107"/>
      <c r="E969" s="107"/>
      <c r="F969" s="107"/>
      <c r="G969" s="108"/>
    </row>
    <row r="970">
      <c r="B970" s="106"/>
      <c r="C970" s="107"/>
      <c r="D970" s="107"/>
      <c r="E970" s="107"/>
      <c r="F970" s="107"/>
      <c r="G970" s="108"/>
    </row>
    <row r="971">
      <c r="B971" s="106"/>
      <c r="C971" s="107"/>
      <c r="D971" s="107"/>
      <c r="E971" s="107"/>
      <c r="F971" s="107"/>
      <c r="G971" s="108"/>
    </row>
    <row r="972">
      <c r="B972" s="106"/>
      <c r="C972" s="107"/>
      <c r="D972" s="107"/>
      <c r="E972" s="107"/>
      <c r="F972" s="107"/>
      <c r="G972" s="108"/>
    </row>
    <row r="973">
      <c r="B973" s="106"/>
      <c r="C973" s="107"/>
      <c r="D973" s="107"/>
      <c r="E973" s="107"/>
      <c r="F973" s="107"/>
      <c r="G973" s="108"/>
    </row>
    <row r="974">
      <c r="B974" s="106"/>
      <c r="C974" s="107"/>
      <c r="D974" s="107"/>
      <c r="E974" s="107"/>
      <c r="F974" s="107"/>
      <c r="G974" s="108"/>
    </row>
    <row r="975">
      <c r="B975" s="106"/>
      <c r="C975" s="107"/>
      <c r="D975" s="107"/>
      <c r="E975" s="107"/>
      <c r="F975" s="107"/>
      <c r="G975" s="108"/>
    </row>
    <row r="976">
      <c r="B976" s="106"/>
      <c r="C976" s="107"/>
      <c r="D976" s="107"/>
      <c r="E976" s="107"/>
      <c r="F976" s="107"/>
      <c r="G976" s="108"/>
    </row>
    <row r="977">
      <c r="B977" s="106"/>
      <c r="C977" s="107"/>
      <c r="D977" s="107"/>
      <c r="E977" s="107"/>
      <c r="F977" s="107"/>
      <c r="G977" s="108"/>
    </row>
    <row r="978">
      <c r="B978" s="106"/>
      <c r="C978" s="107"/>
      <c r="D978" s="107"/>
      <c r="E978" s="107"/>
      <c r="F978" s="107"/>
      <c r="G978" s="108"/>
    </row>
    <row r="979">
      <c r="B979" s="106"/>
      <c r="C979" s="107"/>
      <c r="D979" s="107"/>
      <c r="E979" s="107"/>
      <c r="F979" s="107"/>
      <c r="G979" s="108"/>
    </row>
    <row r="980">
      <c r="B980" s="106"/>
      <c r="C980" s="107"/>
      <c r="D980" s="107"/>
      <c r="E980" s="107"/>
      <c r="F980" s="107"/>
      <c r="G980" s="108"/>
    </row>
    <row r="981">
      <c r="B981" s="106"/>
      <c r="C981" s="107"/>
      <c r="D981" s="107"/>
      <c r="E981" s="107"/>
      <c r="F981" s="107"/>
      <c r="G981" s="108"/>
    </row>
    <row r="982">
      <c r="B982" s="106"/>
      <c r="C982" s="107"/>
      <c r="D982" s="107"/>
      <c r="E982" s="107"/>
      <c r="F982" s="107"/>
      <c r="G982" s="108"/>
    </row>
    <row r="983">
      <c r="B983" s="106"/>
      <c r="C983" s="107"/>
      <c r="D983" s="107"/>
      <c r="E983" s="107"/>
      <c r="F983" s="107"/>
      <c r="G983" s="108"/>
    </row>
    <row r="984">
      <c r="B984" s="106"/>
      <c r="C984" s="107"/>
      <c r="D984" s="107"/>
      <c r="E984" s="107"/>
      <c r="F984" s="107"/>
      <c r="G984" s="108"/>
    </row>
    <row r="985">
      <c r="B985" s="106"/>
      <c r="C985" s="107"/>
      <c r="D985" s="107"/>
      <c r="E985" s="107"/>
      <c r="F985" s="107"/>
      <c r="G985" s="108"/>
    </row>
    <row r="986">
      <c r="B986" s="106"/>
      <c r="C986" s="107"/>
      <c r="D986" s="107"/>
      <c r="E986" s="107"/>
      <c r="F986" s="107"/>
      <c r="G986" s="108"/>
    </row>
    <row r="987">
      <c r="B987" s="106"/>
      <c r="C987" s="107"/>
      <c r="D987" s="107"/>
      <c r="E987" s="107"/>
      <c r="F987" s="107"/>
      <c r="G987" s="108"/>
    </row>
    <row r="988">
      <c r="B988" s="106"/>
      <c r="C988" s="107"/>
      <c r="D988" s="107"/>
      <c r="E988" s="107"/>
      <c r="F988" s="107"/>
      <c r="G988" s="108"/>
    </row>
    <row r="989">
      <c r="B989" s="106"/>
      <c r="C989" s="107"/>
      <c r="D989" s="107"/>
      <c r="E989" s="107"/>
      <c r="F989" s="107"/>
      <c r="G989" s="108"/>
    </row>
    <row r="990">
      <c r="B990" s="106"/>
      <c r="C990" s="107"/>
      <c r="D990" s="107"/>
      <c r="E990" s="107"/>
      <c r="F990" s="107"/>
      <c r="G990" s="108"/>
    </row>
    <row r="991">
      <c r="B991" s="106"/>
      <c r="C991" s="107"/>
      <c r="D991" s="107"/>
      <c r="E991" s="107"/>
      <c r="F991" s="107"/>
      <c r="G991" s="108"/>
    </row>
    <row r="992">
      <c r="B992" s="106"/>
      <c r="C992" s="107"/>
      <c r="D992" s="107"/>
      <c r="E992" s="107"/>
      <c r="F992" s="107"/>
      <c r="G992" s="108"/>
    </row>
    <row r="993">
      <c r="B993" s="106"/>
      <c r="C993" s="107"/>
      <c r="D993" s="107"/>
      <c r="E993" s="107"/>
      <c r="F993" s="107"/>
      <c r="G993" s="108"/>
    </row>
  </sheetData>
  <autoFilter ref="$A$1:$B$993"/>
  <mergeCells count="1">
    <mergeCell ref="C172:G172"/>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hidden="1" min="1" max="1" width="6.0"/>
    <col hidden="1" min="2" max="3" width="12.63"/>
    <col customWidth="1" min="4" max="4" width="42.63"/>
    <col customWidth="1" min="5" max="5" width="7.25"/>
    <col customWidth="1" min="6" max="6" width="20.38"/>
  </cols>
  <sheetData>
    <row r="1">
      <c r="A1" s="22" t="s">
        <v>15</v>
      </c>
      <c r="B1" s="22" t="s">
        <v>23</v>
      </c>
      <c r="C1" s="22" t="s">
        <v>25</v>
      </c>
      <c r="D1" s="3" t="s">
        <v>0</v>
      </c>
      <c r="E1" s="3" t="s">
        <v>32</v>
      </c>
      <c r="F1" s="3" t="s">
        <v>1</v>
      </c>
      <c r="G1" s="25" t="s">
        <v>2</v>
      </c>
      <c r="H1" s="27" t="s">
        <v>4</v>
      </c>
      <c r="I1" s="29" t="s">
        <v>3</v>
      </c>
      <c r="J1" s="31" t="s">
        <v>5</v>
      </c>
      <c r="K1" s="34" t="s">
        <v>6</v>
      </c>
    </row>
    <row r="2">
      <c r="D2" s="36" t="s">
        <v>19</v>
      </c>
      <c r="E2" s="37" t="s">
        <v>45</v>
      </c>
      <c r="F2" s="38" t="s">
        <v>8</v>
      </c>
      <c r="G2" s="39">
        <v>6199.0</v>
      </c>
      <c r="H2" s="41">
        <v>5099.0</v>
      </c>
      <c r="I2" s="42">
        <v>6499.0</v>
      </c>
      <c r="J2" s="43" t="s">
        <v>61</v>
      </c>
      <c r="K2" s="45">
        <v>4599.0</v>
      </c>
      <c r="L2" s="46"/>
      <c r="M2" s="46"/>
      <c r="N2" s="46"/>
      <c r="O2" s="46"/>
      <c r="P2" s="46"/>
    </row>
    <row r="3">
      <c r="A3" s="48">
        <v>48.0</v>
      </c>
      <c r="B3" s="50" t="s">
        <v>79</v>
      </c>
      <c r="C3" s="50" t="s">
        <v>83</v>
      </c>
      <c r="D3" s="36" t="s">
        <v>21</v>
      </c>
      <c r="E3" s="37" t="s">
        <v>45</v>
      </c>
      <c r="F3" s="38" t="s">
        <v>8</v>
      </c>
      <c r="G3" s="39">
        <v>6699.0</v>
      </c>
      <c r="H3" s="41">
        <v>5599.0</v>
      </c>
      <c r="I3" s="42">
        <v>6999.0</v>
      </c>
      <c r="J3" s="43" t="s">
        <v>88</v>
      </c>
      <c r="K3" s="45">
        <v>4899.0</v>
      </c>
    </row>
    <row r="4">
      <c r="A4" s="48">
        <v>214.0</v>
      </c>
      <c r="B4" s="50" t="s">
        <v>90</v>
      </c>
      <c r="C4" s="50" t="s">
        <v>91</v>
      </c>
      <c r="D4" s="36" t="s">
        <v>12</v>
      </c>
      <c r="E4" s="37" t="s">
        <v>45</v>
      </c>
      <c r="F4" s="38" t="s">
        <v>8</v>
      </c>
      <c r="G4" s="39">
        <v>3199.0</v>
      </c>
      <c r="H4" s="41">
        <v>2599.0</v>
      </c>
      <c r="I4" s="42">
        <v>3399.0</v>
      </c>
      <c r="J4" s="43" t="s">
        <v>93</v>
      </c>
      <c r="K4" s="45">
        <v>2299.0</v>
      </c>
    </row>
    <row r="5">
      <c r="D5" s="36" t="s">
        <v>14</v>
      </c>
      <c r="E5" s="37" t="s">
        <v>45</v>
      </c>
      <c r="F5" s="38" t="s">
        <v>8</v>
      </c>
      <c r="G5" s="39">
        <v>3199.0</v>
      </c>
      <c r="H5" s="41">
        <v>2599.0</v>
      </c>
      <c r="I5" s="42">
        <v>3399.0</v>
      </c>
      <c r="J5" s="43" t="s">
        <v>93</v>
      </c>
      <c r="K5" s="45">
        <v>2299.0</v>
      </c>
      <c r="L5" s="46"/>
      <c r="M5" s="46"/>
      <c r="N5" s="46"/>
      <c r="O5" s="46"/>
      <c r="P5" s="46"/>
    </row>
    <row r="6">
      <c r="A6" s="48">
        <v>199.0</v>
      </c>
      <c r="B6" s="50" t="s">
        <v>94</v>
      </c>
      <c r="C6" s="50" t="s">
        <v>91</v>
      </c>
      <c r="D6" s="36" t="s">
        <v>7</v>
      </c>
      <c r="E6" s="37" t="s">
        <v>45</v>
      </c>
      <c r="F6" s="38" t="s">
        <v>8</v>
      </c>
      <c r="G6" s="39">
        <v>1749.0</v>
      </c>
      <c r="H6" s="41">
        <v>1399.0</v>
      </c>
      <c r="I6" s="42">
        <v>1899.0</v>
      </c>
      <c r="J6" s="43" t="s">
        <v>97</v>
      </c>
      <c r="K6" s="45">
        <v>1299.0</v>
      </c>
    </row>
    <row r="7">
      <c r="A7" s="48">
        <v>207.0</v>
      </c>
      <c r="B7" s="50" t="s">
        <v>99</v>
      </c>
      <c r="C7" s="50" t="s">
        <v>91</v>
      </c>
      <c r="D7" s="36" t="s">
        <v>24</v>
      </c>
      <c r="E7" s="37" t="s">
        <v>45</v>
      </c>
      <c r="F7" s="38" t="s">
        <v>8</v>
      </c>
      <c r="G7" s="39">
        <v>8749.0</v>
      </c>
      <c r="H7" s="41">
        <v>7499.0</v>
      </c>
      <c r="I7" s="42">
        <v>9399.0</v>
      </c>
      <c r="J7" s="43" t="s">
        <v>102</v>
      </c>
      <c r="K7" s="45">
        <v>6599.0</v>
      </c>
    </row>
    <row r="8">
      <c r="A8" s="48">
        <v>17.0</v>
      </c>
      <c r="B8" s="50" t="s">
        <v>103</v>
      </c>
      <c r="C8" s="50" t="s">
        <v>91</v>
      </c>
      <c r="D8" s="36" t="s">
        <v>16</v>
      </c>
      <c r="E8" s="37" t="s">
        <v>45</v>
      </c>
      <c r="F8" s="38" t="s">
        <v>8</v>
      </c>
      <c r="G8" s="39">
        <v>3299.0</v>
      </c>
      <c r="H8" s="41">
        <v>2799.0</v>
      </c>
      <c r="I8" s="42">
        <v>3499.0</v>
      </c>
      <c r="J8" s="43" t="s">
        <v>105</v>
      </c>
      <c r="K8" s="45">
        <v>2499.0</v>
      </c>
    </row>
    <row r="9">
      <c r="A9" s="48">
        <v>204.0</v>
      </c>
      <c r="B9" s="50" t="s">
        <v>107</v>
      </c>
      <c r="C9" s="50" t="s">
        <v>91</v>
      </c>
      <c r="D9" s="36" t="s">
        <v>11</v>
      </c>
      <c r="E9" s="37" t="s">
        <v>45</v>
      </c>
      <c r="F9" s="38" t="s">
        <v>8</v>
      </c>
      <c r="G9" s="39">
        <v>1749.0</v>
      </c>
      <c r="H9" s="41">
        <v>1399.0</v>
      </c>
      <c r="I9" s="42">
        <v>1899.0</v>
      </c>
      <c r="J9" s="43" t="s">
        <v>97</v>
      </c>
      <c r="K9" s="45">
        <v>1399.0</v>
      </c>
    </row>
    <row r="10">
      <c r="A10" s="48">
        <v>144.0</v>
      </c>
      <c r="B10" s="50" t="s">
        <v>111</v>
      </c>
      <c r="C10" s="50" t="s">
        <v>91</v>
      </c>
      <c r="D10" s="36" t="s">
        <v>27</v>
      </c>
      <c r="E10" s="37" t="s">
        <v>45</v>
      </c>
      <c r="F10" s="38" t="s">
        <v>8</v>
      </c>
      <c r="G10" s="39">
        <v>12299.0</v>
      </c>
      <c r="H10" s="41">
        <v>10999.0</v>
      </c>
      <c r="I10" s="42">
        <v>12999.0</v>
      </c>
      <c r="J10" s="43" t="s">
        <v>113</v>
      </c>
      <c r="K10" s="45">
        <v>9499.0</v>
      </c>
    </row>
    <row r="11">
      <c r="A11" s="48">
        <v>219.0</v>
      </c>
      <c r="B11" s="50" t="s">
        <v>115</v>
      </c>
      <c r="C11" s="50" t="s">
        <v>117</v>
      </c>
      <c r="D11" s="36" t="s">
        <v>30</v>
      </c>
      <c r="E11" s="37" t="s">
        <v>45</v>
      </c>
      <c r="F11" s="38" t="s">
        <v>31</v>
      </c>
      <c r="G11" s="39">
        <v>25.0</v>
      </c>
      <c r="H11" s="41">
        <v>20.0</v>
      </c>
      <c r="I11" s="42">
        <v>29.0</v>
      </c>
      <c r="J11" s="43" t="s">
        <v>119</v>
      </c>
      <c r="K11" s="45">
        <v>20.0</v>
      </c>
    </row>
    <row r="12">
      <c r="A12" s="48">
        <v>224.0</v>
      </c>
      <c r="B12" s="50" t="s">
        <v>120</v>
      </c>
      <c r="C12" s="50" t="s">
        <v>117</v>
      </c>
      <c r="D12" s="36" t="s">
        <v>34</v>
      </c>
      <c r="E12" s="37" t="s">
        <v>45</v>
      </c>
      <c r="F12" s="38" t="s">
        <v>31</v>
      </c>
      <c r="G12" s="39">
        <v>50.0</v>
      </c>
      <c r="H12" s="41">
        <v>40.0</v>
      </c>
      <c r="I12" s="42">
        <v>59.0</v>
      </c>
      <c r="J12" s="43" t="s">
        <v>122</v>
      </c>
      <c r="K12" s="45">
        <v>40.0</v>
      </c>
    </row>
    <row r="13">
      <c r="A13" s="48">
        <v>223.0</v>
      </c>
      <c r="B13" s="50" t="s">
        <v>123</v>
      </c>
      <c r="C13" s="50" t="s">
        <v>117</v>
      </c>
      <c r="D13" s="36" t="s">
        <v>124</v>
      </c>
      <c r="E13" s="37" t="s">
        <v>45</v>
      </c>
      <c r="F13" s="38" t="s">
        <v>31</v>
      </c>
      <c r="G13" s="39">
        <v>1.0</v>
      </c>
      <c r="H13" s="41">
        <v>1.0</v>
      </c>
      <c r="I13" s="42">
        <v>1.0</v>
      </c>
      <c r="J13" s="43" t="s">
        <v>126</v>
      </c>
      <c r="K13" s="45">
        <v>1.0</v>
      </c>
    </row>
    <row r="14">
      <c r="A14" s="48">
        <v>218.0</v>
      </c>
      <c r="B14" s="50" t="s">
        <v>129</v>
      </c>
      <c r="C14" s="50" t="s">
        <v>117</v>
      </c>
      <c r="D14" s="36" t="s">
        <v>130</v>
      </c>
      <c r="E14" s="37" t="s">
        <v>45</v>
      </c>
      <c r="F14" s="38" t="s">
        <v>43</v>
      </c>
      <c r="G14" s="39">
        <v>1.0</v>
      </c>
      <c r="H14" s="41">
        <v>1.0</v>
      </c>
      <c r="I14" s="42">
        <v>1.0</v>
      </c>
      <c r="J14" s="43" t="s">
        <v>126</v>
      </c>
      <c r="K14" s="45">
        <v>1.0</v>
      </c>
    </row>
    <row r="15">
      <c r="A15" s="48">
        <v>217.0</v>
      </c>
      <c r="B15" s="50" t="s">
        <v>133</v>
      </c>
      <c r="C15" s="50" t="s">
        <v>117</v>
      </c>
      <c r="D15" s="36" t="s">
        <v>72</v>
      </c>
      <c r="E15" s="37" t="s">
        <v>45</v>
      </c>
      <c r="F15" s="38" t="s">
        <v>43</v>
      </c>
      <c r="G15" s="39">
        <v>599.0</v>
      </c>
      <c r="H15" s="41">
        <v>499.0</v>
      </c>
      <c r="I15" s="42">
        <v>649.0</v>
      </c>
      <c r="J15" s="43" t="s">
        <v>155</v>
      </c>
      <c r="K15" s="45">
        <v>399.0</v>
      </c>
    </row>
    <row r="16">
      <c r="A16" s="48">
        <v>221.0</v>
      </c>
      <c r="B16" s="63" t="s">
        <v>157</v>
      </c>
      <c r="C16" s="50" t="s">
        <v>117</v>
      </c>
      <c r="D16" s="36" t="s">
        <v>161</v>
      </c>
      <c r="E16" s="37" t="s">
        <v>45</v>
      </c>
      <c r="F16" s="38" t="s">
        <v>43</v>
      </c>
      <c r="G16" s="39">
        <v>499.0</v>
      </c>
      <c r="H16" s="41">
        <v>449.0</v>
      </c>
      <c r="I16" s="42">
        <v>549.0</v>
      </c>
      <c r="J16" s="43" t="s">
        <v>155</v>
      </c>
      <c r="K16" s="45">
        <v>399.0</v>
      </c>
    </row>
    <row r="17">
      <c r="A17" s="67">
        <v>222.0</v>
      </c>
      <c r="B17" s="68" t="s">
        <v>165</v>
      </c>
      <c r="C17" s="50" t="s">
        <v>117</v>
      </c>
      <c r="D17" s="36" t="s">
        <v>166</v>
      </c>
      <c r="E17" s="37" t="s">
        <v>45</v>
      </c>
      <c r="F17" s="38" t="s">
        <v>43</v>
      </c>
      <c r="G17" s="39">
        <v>55.0</v>
      </c>
      <c r="H17" s="41">
        <v>45.0</v>
      </c>
      <c r="I17" s="42">
        <v>55.0</v>
      </c>
      <c r="J17" s="43" t="s">
        <v>171</v>
      </c>
      <c r="K17" s="45">
        <v>40.0</v>
      </c>
    </row>
    <row r="18">
      <c r="A18" s="48">
        <v>216.0</v>
      </c>
      <c r="B18" s="50" t="s">
        <v>173</v>
      </c>
      <c r="C18" s="50" t="s">
        <v>117</v>
      </c>
      <c r="D18" s="36" t="s">
        <v>174</v>
      </c>
      <c r="E18" s="37" t="s">
        <v>45</v>
      </c>
      <c r="F18" s="38" t="s">
        <v>43</v>
      </c>
      <c r="G18" s="39">
        <v>85.0</v>
      </c>
      <c r="H18" s="41">
        <v>62.0</v>
      </c>
      <c r="I18" s="42">
        <v>92.0</v>
      </c>
      <c r="J18" s="43" t="s">
        <v>175</v>
      </c>
      <c r="K18" s="45">
        <v>55.0</v>
      </c>
    </row>
    <row r="19">
      <c r="A19" s="48">
        <v>213.0</v>
      </c>
      <c r="B19" s="50" t="s">
        <v>177</v>
      </c>
      <c r="C19" s="50" t="s">
        <v>91</v>
      </c>
      <c r="D19" s="36" t="s">
        <v>178</v>
      </c>
      <c r="E19" s="37" t="s">
        <v>45</v>
      </c>
      <c r="F19" s="38" t="s">
        <v>43</v>
      </c>
      <c r="G19" s="39">
        <v>69.0</v>
      </c>
      <c r="H19" s="41">
        <v>60.0</v>
      </c>
      <c r="I19" s="42">
        <v>75.0</v>
      </c>
      <c r="J19" s="43" t="s">
        <v>179</v>
      </c>
      <c r="K19" s="45">
        <v>45.0</v>
      </c>
    </row>
    <row r="20">
      <c r="A20" s="48">
        <v>215.0</v>
      </c>
      <c r="B20" s="50" t="s">
        <v>181</v>
      </c>
      <c r="C20" s="50" t="s">
        <v>91</v>
      </c>
      <c r="D20" s="36" t="s">
        <v>46</v>
      </c>
      <c r="E20" s="37" t="s">
        <v>45</v>
      </c>
      <c r="F20" s="38" t="s">
        <v>43</v>
      </c>
      <c r="G20" s="39">
        <v>39.0</v>
      </c>
      <c r="H20" s="41">
        <v>32.0</v>
      </c>
      <c r="I20" s="42">
        <v>43.0</v>
      </c>
      <c r="J20" s="43" t="s">
        <v>183</v>
      </c>
      <c r="K20" s="45">
        <v>28.0</v>
      </c>
    </row>
    <row r="21">
      <c r="A21" s="48">
        <v>228.0</v>
      </c>
      <c r="B21" s="50" t="s">
        <v>185</v>
      </c>
      <c r="C21" s="50" t="s">
        <v>186</v>
      </c>
      <c r="D21" s="36" t="s">
        <v>56</v>
      </c>
      <c r="E21" s="37" t="s">
        <v>45</v>
      </c>
      <c r="F21" s="38" t="s">
        <v>43</v>
      </c>
      <c r="G21" s="39">
        <v>99.0</v>
      </c>
      <c r="H21" s="41">
        <v>89.0</v>
      </c>
      <c r="I21" s="42">
        <v>109.0</v>
      </c>
      <c r="J21" s="43" t="s">
        <v>191</v>
      </c>
      <c r="K21" s="45">
        <v>79.0</v>
      </c>
    </row>
    <row r="22">
      <c r="A22" s="48">
        <v>212.0</v>
      </c>
      <c r="B22" s="50" t="s">
        <v>193</v>
      </c>
      <c r="C22" s="50" t="s">
        <v>91</v>
      </c>
      <c r="D22" s="36" t="s">
        <v>70</v>
      </c>
      <c r="E22" s="37" t="s">
        <v>45</v>
      </c>
      <c r="F22" s="38" t="s">
        <v>43</v>
      </c>
      <c r="G22" s="39">
        <v>599.0</v>
      </c>
      <c r="H22" s="41">
        <v>499.0</v>
      </c>
      <c r="I22" s="42">
        <v>649.0</v>
      </c>
      <c r="J22" s="43" t="s">
        <v>155</v>
      </c>
      <c r="K22" s="45">
        <v>399.0</v>
      </c>
    </row>
    <row r="23">
      <c r="A23" s="48">
        <v>227.0</v>
      </c>
      <c r="B23" s="50" t="s">
        <v>196</v>
      </c>
      <c r="C23" s="50" t="s">
        <v>186</v>
      </c>
      <c r="D23" s="36" t="s">
        <v>73</v>
      </c>
      <c r="E23" s="37" t="s">
        <v>45</v>
      </c>
      <c r="F23" s="38" t="s">
        <v>43</v>
      </c>
      <c r="G23" s="39">
        <v>599.0</v>
      </c>
      <c r="H23" s="41">
        <v>499.0</v>
      </c>
      <c r="I23" s="42">
        <v>649.0</v>
      </c>
      <c r="J23" s="43" t="s">
        <v>200</v>
      </c>
      <c r="K23" s="45">
        <v>449.0</v>
      </c>
    </row>
    <row r="24">
      <c r="A24" s="48">
        <v>113.0</v>
      </c>
      <c r="B24" s="50" t="s">
        <v>202</v>
      </c>
      <c r="C24" s="50" t="s">
        <v>91</v>
      </c>
      <c r="D24" s="36" t="s">
        <v>74</v>
      </c>
      <c r="E24" s="37" t="s">
        <v>45</v>
      </c>
      <c r="F24" s="38" t="s">
        <v>43</v>
      </c>
      <c r="G24" s="39">
        <v>599.0</v>
      </c>
      <c r="H24" s="41">
        <v>499.0</v>
      </c>
      <c r="I24" s="42">
        <v>649.0</v>
      </c>
      <c r="J24" s="43" t="s">
        <v>200</v>
      </c>
      <c r="K24" s="45">
        <v>449.0</v>
      </c>
    </row>
    <row r="25">
      <c r="A25" s="48">
        <v>190.0</v>
      </c>
      <c r="B25" s="50" t="s">
        <v>206</v>
      </c>
      <c r="C25" s="50" t="s">
        <v>91</v>
      </c>
      <c r="D25" s="36" t="s">
        <v>68</v>
      </c>
      <c r="E25" s="37" t="s">
        <v>45</v>
      </c>
      <c r="F25" s="38" t="s">
        <v>43</v>
      </c>
      <c r="G25" s="39">
        <v>500.0</v>
      </c>
      <c r="H25" s="41">
        <v>450.0</v>
      </c>
      <c r="I25" s="42">
        <v>550.0</v>
      </c>
      <c r="J25" s="43" t="s">
        <v>207</v>
      </c>
      <c r="K25" s="45">
        <v>400.0</v>
      </c>
    </row>
    <row r="26">
      <c r="A26" s="48">
        <v>192.0</v>
      </c>
      <c r="B26" s="50" t="s">
        <v>209</v>
      </c>
      <c r="C26" s="50" t="s">
        <v>91</v>
      </c>
      <c r="D26" s="36" t="s">
        <v>76</v>
      </c>
      <c r="E26" s="37" t="s">
        <v>45</v>
      </c>
      <c r="F26" s="38" t="s">
        <v>43</v>
      </c>
      <c r="G26" s="39">
        <v>599.0</v>
      </c>
      <c r="H26" s="41">
        <v>499.0</v>
      </c>
      <c r="I26" s="42">
        <v>649.0</v>
      </c>
      <c r="J26" s="43" t="s">
        <v>200</v>
      </c>
      <c r="K26" s="45">
        <v>449.0</v>
      </c>
    </row>
    <row r="27">
      <c r="A27" s="48">
        <v>168.0</v>
      </c>
      <c r="B27" s="50" t="s">
        <v>213</v>
      </c>
      <c r="C27" s="50" t="s">
        <v>186</v>
      </c>
      <c r="D27" s="36" t="s">
        <v>66</v>
      </c>
      <c r="E27" s="37" t="s">
        <v>45</v>
      </c>
      <c r="F27" s="38" t="s">
        <v>43</v>
      </c>
      <c r="G27" s="39">
        <v>500.0</v>
      </c>
      <c r="H27" s="41">
        <v>450.0</v>
      </c>
      <c r="I27" s="42">
        <v>550.0</v>
      </c>
      <c r="J27" s="43" t="s">
        <v>207</v>
      </c>
      <c r="K27" s="45">
        <v>400.0</v>
      </c>
    </row>
    <row r="28">
      <c r="A28" s="48">
        <v>76.0</v>
      </c>
      <c r="B28" s="50" t="s">
        <v>222</v>
      </c>
      <c r="C28" s="50" t="s">
        <v>186</v>
      </c>
      <c r="D28" s="36" t="s">
        <v>121</v>
      </c>
      <c r="E28" s="37" t="s">
        <v>45</v>
      </c>
      <c r="F28" s="38" t="s">
        <v>78</v>
      </c>
      <c r="G28" s="39">
        <v>540.0</v>
      </c>
      <c r="H28" s="41">
        <v>480.0</v>
      </c>
      <c r="I28" s="42">
        <v>570.0</v>
      </c>
      <c r="J28" s="43" t="s">
        <v>229</v>
      </c>
      <c r="K28" s="45">
        <v>450.0</v>
      </c>
    </row>
    <row r="29">
      <c r="A29" s="48">
        <v>125.0</v>
      </c>
      <c r="B29" s="50" t="s">
        <v>231</v>
      </c>
      <c r="C29" s="50" t="s">
        <v>186</v>
      </c>
      <c r="D29" s="36" t="s">
        <v>131</v>
      </c>
      <c r="E29" s="37" t="s">
        <v>45</v>
      </c>
      <c r="F29" s="38" t="s">
        <v>78</v>
      </c>
      <c r="G29" s="39">
        <v>780.0</v>
      </c>
      <c r="H29" s="41">
        <v>675.0</v>
      </c>
      <c r="I29" s="42">
        <v>840.0</v>
      </c>
      <c r="J29" s="43" t="s">
        <v>238</v>
      </c>
      <c r="K29" s="45">
        <v>600.0</v>
      </c>
    </row>
    <row r="30">
      <c r="A30" s="48">
        <v>87.0</v>
      </c>
      <c r="B30" s="50" t="s">
        <v>241</v>
      </c>
      <c r="C30" s="50" t="s">
        <v>186</v>
      </c>
      <c r="D30" s="36" t="s">
        <v>244</v>
      </c>
      <c r="E30" s="37" t="s">
        <v>45</v>
      </c>
      <c r="F30" s="38" t="s">
        <v>78</v>
      </c>
      <c r="G30" s="39">
        <v>799.0</v>
      </c>
      <c r="H30" s="41">
        <v>675.0</v>
      </c>
      <c r="I30" s="42">
        <v>850.0</v>
      </c>
      <c r="J30" s="43" t="s">
        <v>238</v>
      </c>
      <c r="K30" s="45">
        <v>600.0</v>
      </c>
    </row>
    <row r="31">
      <c r="A31" s="48">
        <v>193.0</v>
      </c>
      <c r="B31" s="50" t="s">
        <v>248</v>
      </c>
      <c r="C31" s="50" t="s">
        <v>91</v>
      </c>
      <c r="D31" s="36" t="s">
        <v>251</v>
      </c>
      <c r="E31" s="37" t="s">
        <v>45</v>
      </c>
      <c r="F31" s="38" t="s">
        <v>78</v>
      </c>
      <c r="G31" s="39">
        <v>799.0</v>
      </c>
      <c r="H31" s="41">
        <v>675.0</v>
      </c>
      <c r="I31" s="42">
        <v>850.0</v>
      </c>
      <c r="J31" s="43" t="s">
        <v>238</v>
      </c>
      <c r="K31" s="45">
        <v>600.0</v>
      </c>
    </row>
    <row r="32">
      <c r="A32" s="48">
        <v>206.0</v>
      </c>
      <c r="B32" s="50" t="s">
        <v>266</v>
      </c>
      <c r="C32" s="50" t="s">
        <v>91</v>
      </c>
      <c r="D32" s="36" t="s">
        <v>85</v>
      </c>
      <c r="E32" s="37" t="s">
        <v>45</v>
      </c>
      <c r="F32" s="38" t="s">
        <v>78</v>
      </c>
      <c r="G32" s="39">
        <v>180.0</v>
      </c>
      <c r="H32" s="41">
        <v>160.0</v>
      </c>
      <c r="I32" s="42">
        <v>190.0</v>
      </c>
      <c r="J32" s="43" t="s">
        <v>274</v>
      </c>
      <c r="K32" s="45">
        <v>150.0</v>
      </c>
    </row>
    <row r="33">
      <c r="A33" s="48">
        <v>208.0</v>
      </c>
      <c r="B33" s="50" t="s">
        <v>278</v>
      </c>
      <c r="C33" s="50" t="s">
        <v>91</v>
      </c>
      <c r="D33" s="36" t="s">
        <v>86</v>
      </c>
      <c r="E33" s="37" t="s">
        <v>45</v>
      </c>
      <c r="F33" s="38" t="s">
        <v>78</v>
      </c>
      <c r="G33" s="39">
        <v>180.0</v>
      </c>
      <c r="H33" s="41">
        <v>160.0</v>
      </c>
      <c r="I33" s="42">
        <v>190.0</v>
      </c>
      <c r="J33" s="43" t="s">
        <v>274</v>
      </c>
      <c r="K33" s="45">
        <v>150.0</v>
      </c>
    </row>
    <row r="34">
      <c r="A34" s="48">
        <v>182.0</v>
      </c>
      <c r="B34" s="50" t="s">
        <v>285</v>
      </c>
      <c r="C34" s="50" t="s">
        <v>186</v>
      </c>
      <c r="D34" s="36" t="s">
        <v>87</v>
      </c>
      <c r="E34" s="37" t="s">
        <v>45</v>
      </c>
      <c r="F34" s="38" t="s">
        <v>78</v>
      </c>
      <c r="G34" s="39">
        <v>180.0</v>
      </c>
      <c r="H34" s="41">
        <v>160.0</v>
      </c>
      <c r="I34" s="42">
        <v>190.0</v>
      </c>
      <c r="J34" s="43" t="s">
        <v>274</v>
      </c>
      <c r="K34" s="45">
        <v>150.0</v>
      </c>
    </row>
    <row r="35">
      <c r="A35" s="48">
        <v>14.0</v>
      </c>
      <c r="B35" s="50" t="s">
        <v>291</v>
      </c>
      <c r="C35" s="50" t="s">
        <v>91</v>
      </c>
      <c r="D35" s="36" t="s">
        <v>92</v>
      </c>
      <c r="E35" s="37" t="s">
        <v>45</v>
      </c>
      <c r="F35" s="38" t="s">
        <v>78</v>
      </c>
      <c r="G35" s="39">
        <v>180.0</v>
      </c>
      <c r="H35" s="41">
        <v>160.0</v>
      </c>
      <c r="I35" s="42">
        <v>190.0</v>
      </c>
      <c r="J35" s="43" t="s">
        <v>274</v>
      </c>
      <c r="K35" s="45">
        <v>150.0</v>
      </c>
    </row>
    <row r="36">
      <c r="A36" s="48">
        <v>114.0</v>
      </c>
      <c r="B36" s="50" t="s">
        <v>298</v>
      </c>
      <c r="C36" s="50" t="s">
        <v>91</v>
      </c>
      <c r="D36" s="36" t="s">
        <v>301</v>
      </c>
      <c r="E36" s="37" t="s">
        <v>45</v>
      </c>
      <c r="F36" s="38" t="s">
        <v>78</v>
      </c>
      <c r="G36" s="39">
        <v>180.0</v>
      </c>
      <c r="H36" s="41">
        <v>160.0</v>
      </c>
      <c r="I36" s="42">
        <v>190.0</v>
      </c>
      <c r="J36" s="43" t="s">
        <v>274</v>
      </c>
      <c r="K36" s="45">
        <v>150.0</v>
      </c>
    </row>
    <row r="37">
      <c r="A37" s="48">
        <v>189.0</v>
      </c>
      <c r="B37" s="50" t="s">
        <v>306</v>
      </c>
      <c r="C37" s="50" t="s">
        <v>186</v>
      </c>
      <c r="D37" s="36" t="s">
        <v>308</v>
      </c>
      <c r="E37" s="37" t="s">
        <v>45</v>
      </c>
      <c r="F37" s="38" t="s">
        <v>78</v>
      </c>
      <c r="G37" s="39">
        <v>180.0</v>
      </c>
      <c r="H37" s="41">
        <v>160.0</v>
      </c>
      <c r="I37" s="42">
        <v>190.0</v>
      </c>
      <c r="J37" s="43" t="s">
        <v>274</v>
      </c>
      <c r="K37" s="45">
        <v>150.0</v>
      </c>
    </row>
    <row r="38">
      <c r="A38" s="48">
        <v>89.0</v>
      </c>
      <c r="B38" s="50" t="s">
        <v>313</v>
      </c>
      <c r="C38" s="50" t="s">
        <v>186</v>
      </c>
      <c r="D38" s="36" t="s">
        <v>39</v>
      </c>
      <c r="E38" s="37" t="s">
        <v>45</v>
      </c>
      <c r="F38" s="38" t="s">
        <v>78</v>
      </c>
      <c r="G38" s="39">
        <v>1025.0</v>
      </c>
      <c r="H38" s="41">
        <v>890.0</v>
      </c>
      <c r="I38" s="42">
        <v>1090.0</v>
      </c>
      <c r="J38" s="43" t="s">
        <v>320</v>
      </c>
      <c r="K38" s="45">
        <v>790.0</v>
      </c>
    </row>
    <row r="39">
      <c r="A39" s="48">
        <v>85.0</v>
      </c>
      <c r="B39" s="50" t="s">
        <v>323</v>
      </c>
      <c r="C39" s="50" t="s">
        <v>186</v>
      </c>
      <c r="D39" s="36" t="s">
        <v>36</v>
      </c>
      <c r="E39" s="37" t="s">
        <v>327</v>
      </c>
      <c r="F39" s="38" t="s">
        <v>78</v>
      </c>
      <c r="G39" s="39">
        <v>0.034</v>
      </c>
      <c r="H39" s="41">
        <v>0.03</v>
      </c>
      <c r="I39" s="42">
        <v>0.036</v>
      </c>
      <c r="J39" s="43" t="s">
        <v>332</v>
      </c>
      <c r="K39" s="45">
        <v>0.025</v>
      </c>
    </row>
    <row r="40">
      <c r="A40" s="48">
        <v>165.0</v>
      </c>
      <c r="B40" s="50" t="s">
        <v>335</v>
      </c>
      <c r="C40" s="50" t="s">
        <v>186</v>
      </c>
      <c r="D40" s="36" t="s">
        <v>116</v>
      </c>
      <c r="E40" s="37" t="s">
        <v>45</v>
      </c>
      <c r="F40" s="38" t="s">
        <v>78</v>
      </c>
      <c r="G40" s="39">
        <v>500.0</v>
      </c>
      <c r="H40" s="41">
        <v>450.0</v>
      </c>
      <c r="I40" s="42">
        <v>550.0</v>
      </c>
      <c r="J40" s="43" t="s">
        <v>207</v>
      </c>
      <c r="K40" s="45">
        <v>400.0</v>
      </c>
    </row>
    <row r="41">
      <c r="A41" s="48">
        <v>118.0</v>
      </c>
      <c r="B41" s="50" t="s">
        <v>342</v>
      </c>
      <c r="C41" s="50" t="s">
        <v>186</v>
      </c>
      <c r="D41" s="36" t="s">
        <v>344</v>
      </c>
      <c r="E41" s="37" t="s">
        <v>45</v>
      </c>
      <c r="F41" s="38" t="s">
        <v>78</v>
      </c>
      <c r="G41" s="80" t="s">
        <v>135</v>
      </c>
      <c r="H41" s="82" t="s">
        <v>135</v>
      </c>
      <c r="I41" s="83" t="s">
        <v>135</v>
      </c>
      <c r="J41" s="43" t="s">
        <v>366</v>
      </c>
      <c r="K41" s="84" t="s">
        <v>135</v>
      </c>
    </row>
    <row r="42">
      <c r="A42" s="48">
        <v>18.0</v>
      </c>
      <c r="B42" s="50" t="s">
        <v>373</v>
      </c>
      <c r="C42" s="50" t="s">
        <v>186</v>
      </c>
      <c r="D42" s="36" t="s">
        <v>101</v>
      </c>
      <c r="E42" s="37" t="s">
        <v>45</v>
      </c>
      <c r="F42" s="38" t="s">
        <v>78</v>
      </c>
      <c r="G42" s="39">
        <v>260.0</v>
      </c>
      <c r="H42" s="41">
        <v>225.0</v>
      </c>
      <c r="I42" s="42">
        <v>280.0</v>
      </c>
      <c r="J42" s="43" t="s">
        <v>381</v>
      </c>
      <c r="K42" s="45">
        <v>200.0</v>
      </c>
    </row>
    <row r="43">
      <c r="A43" s="48">
        <v>86.0</v>
      </c>
      <c r="B43" s="50" t="s">
        <v>386</v>
      </c>
      <c r="C43" s="50" t="s">
        <v>186</v>
      </c>
      <c r="D43" s="36" t="s">
        <v>106</v>
      </c>
      <c r="E43" s="37" t="s">
        <v>45</v>
      </c>
      <c r="F43" s="38" t="s">
        <v>78</v>
      </c>
      <c r="G43" s="39">
        <v>260.0</v>
      </c>
      <c r="H43" s="41">
        <v>225.0</v>
      </c>
      <c r="I43" s="42">
        <v>280.0</v>
      </c>
      <c r="J43" s="43" t="s">
        <v>381</v>
      </c>
      <c r="K43" s="45">
        <v>200.0</v>
      </c>
    </row>
    <row r="44">
      <c r="A44" s="48">
        <v>210.0</v>
      </c>
      <c r="B44" s="50" t="s">
        <v>388</v>
      </c>
      <c r="C44" s="50" t="s">
        <v>91</v>
      </c>
      <c r="D44" s="36" t="s">
        <v>104</v>
      </c>
      <c r="E44" s="37" t="s">
        <v>45</v>
      </c>
      <c r="F44" s="38" t="s">
        <v>78</v>
      </c>
      <c r="G44" s="39">
        <v>260.0</v>
      </c>
      <c r="H44" s="41">
        <v>225.0</v>
      </c>
      <c r="I44" s="42">
        <v>280.0</v>
      </c>
      <c r="J44" s="43" t="s">
        <v>381</v>
      </c>
      <c r="K44" s="45">
        <v>200.0</v>
      </c>
    </row>
    <row r="45">
      <c r="A45" s="48">
        <v>229.0</v>
      </c>
      <c r="B45" s="50" t="s">
        <v>391</v>
      </c>
      <c r="C45" s="50" t="s">
        <v>91</v>
      </c>
      <c r="D45" s="36" t="s">
        <v>110</v>
      </c>
      <c r="E45" s="37" t="s">
        <v>45</v>
      </c>
      <c r="F45" s="38" t="s">
        <v>78</v>
      </c>
      <c r="G45" s="39">
        <v>260.0</v>
      </c>
      <c r="H45" s="41">
        <v>225.0</v>
      </c>
      <c r="I45" s="42">
        <v>280.0</v>
      </c>
      <c r="J45" s="43" t="s">
        <v>381</v>
      </c>
      <c r="K45" s="45">
        <v>200.0</v>
      </c>
    </row>
    <row r="46">
      <c r="A46" s="48">
        <v>195.0</v>
      </c>
      <c r="B46" s="50" t="s">
        <v>393</v>
      </c>
      <c r="C46" s="50" t="s">
        <v>91</v>
      </c>
      <c r="D46" s="36" t="s">
        <v>395</v>
      </c>
      <c r="E46" s="37" t="s">
        <v>45</v>
      </c>
      <c r="F46" s="38" t="s">
        <v>78</v>
      </c>
      <c r="G46" s="39">
        <v>359.0</v>
      </c>
      <c r="H46" s="41">
        <v>349.0</v>
      </c>
      <c r="I46" s="42">
        <v>389.0</v>
      </c>
      <c r="J46" s="43" t="s">
        <v>397</v>
      </c>
      <c r="K46" s="45">
        <v>325.0</v>
      </c>
    </row>
    <row r="47">
      <c r="A47" s="48">
        <v>194.0</v>
      </c>
      <c r="B47" s="50" t="s">
        <v>398</v>
      </c>
      <c r="C47" s="50" t="s">
        <v>91</v>
      </c>
      <c r="D47" s="36" t="s">
        <v>128</v>
      </c>
      <c r="E47" s="37" t="s">
        <v>45</v>
      </c>
      <c r="F47" s="38" t="s">
        <v>78</v>
      </c>
      <c r="G47" s="39">
        <v>599.0</v>
      </c>
      <c r="H47" s="41">
        <v>499.0</v>
      </c>
      <c r="I47" s="42">
        <v>649.0</v>
      </c>
      <c r="J47" s="43" t="s">
        <v>200</v>
      </c>
      <c r="K47" s="45">
        <v>449.0</v>
      </c>
    </row>
    <row r="48">
      <c r="A48" s="48">
        <v>205.0</v>
      </c>
      <c r="B48" s="50" t="s">
        <v>401</v>
      </c>
      <c r="C48" s="50" t="s">
        <v>91</v>
      </c>
      <c r="D48" s="36" t="s">
        <v>402</v>
      </c>
      <c r="E48" s="37" t="s">
        <v>45</v>
      </c>
      <c r="F48" s="38" t="s">
        <v>78</v>
      </c>
      <c r="G48" s="39">
        <v>260.0</v>
      </c>
      <c r="H48" s="41">
        <v>225.0</v>
      </c>
      <c r="I48" s="42">
        <v>280.0</v>
      </c>
      <c r="J48" s="43" t="s">
        <v>381</v>
      </c>
      <c r="K48" s="45">
        <v>200.0</v>
      </c>
    </row>
    <row r="49">
      <c r="A49" s="48">
        <v>191.0</v>
      </c>
      <c r="B49" s="50" t="s">
        <v>403</v>
      </c>
      <c r="C49" s="50" t="s">
        <v>91</v>
      </c>
      <c r="D49" s="36" t="s">
        <v>405</v>
      </c>
      <c r="E49" s="37" t="s">
        <v>45</v>
      </c>
      <c r="F49" s="38" t="s">
        <v>78</v>
      </c>
      <c r="G49" s="39">
        <v>260.0</v>
      </c>
      <c r="H49" s="41">
        <v>225.0</v>
      </c>
      <c r="I49" s="42">
        <v>280.0</v>
      </c>
      <c r="J49" s="43" t="s">
        <v>381</v>
      </c>
      <c r="K49" s="45">
        <v>200.0</v>
      </c>
    </row>
    <row r="50">
      <c r="A50" s="48">
        <v>202.0</v>
      </c>
      <c r="B50" s="50" t="s">
        <v>407</v>
      </c>
      <c r="C50" s="50" t="s">
        <v>91</v>
      </c>
      <c r="D50" s="36" t="s">
        <v>409</v>
      </c>
      <c r="E50" s="37" t="s">
        <v>45</v>
      </c>
      <c r="F50" s="38" t="s">
        <v>78</v>
      </c>
      <c r="G50" s="39">
        <v>260.0</v>
      </c>
      <c r="H50" s="41">
        <v>225.0</v>
      </c>
      <c r="I50" s="42">
        <v>280.0</v>
      </c>
      <c r="J50" s="43" t="s">
        <v>381</v>
      </c>
      <c r="K50" s="45">
        <v>200.0</v>
      </c>
    </row>
    <row r="51">
      <c r="A51" s="48">
        <v>201.0</v>
      </c>
      <c r="B51" s="50" t="s">
        <v>412</v>
      </c>
      <c r="C51" s="50" t="s">
        <v>91</v>
      </c>
      <c r="D51" s="36" t="s">
        <v>118</v>
      </c>
      <c r="E51" s="37" t="s">
        <v>45</v>
      </c>
      <c r="F51" s="38" t="s">
        <v>78</v>
      </c>
      <c r="G51" s="39">
        <v>500.0</v>
      </c>
      <c r="H51" s="41">
        <v>450.0</v>
      </c>
      <c r="I51" s="42">
        <v>550.0</v>
      </c>
      <c r="J51" s="43" t="s">
        <v>207</v>
      </c>
      <c r="K51" s="45">
        <v>400.0</v>
      </c>
    </row>
    <row r="52">
      <c r="A52" s="48">
        <v>117.0</v>
      </c>
      <c r="B52" s="50" t="s">
        <v>417</v>
      </c>
      <c r="C52" s="50" t="s">
        <v>91</v>
      </c>
      <c r="D52" s="36" t="s">
        <v>77</v>
      </c>
      <c r="E52" s="37" t="s">
        <v>45</v>
      </c>
      <c r="F52" s="38" t="s">
        <v>78</v>
      </c>
      <c r="G52" s="39">
        <v>79.0</v>
      </c>
      <c r="H52" s="41">
        <v>70.0</v>
      </c>
      <c r="I52" s="42">
        <v>85.0</v>
      </c>
      <c r="J52" s="43" t="s">
        <v>421</v>
      </c>
      <c r="K52" s="45">
        <v>60.0</v>
      </c>
    </row>
    <row r="53">
      <c r="A53" s="48">
        <v>20.0</v>
      </c>
      <c r="B53" s="50" t="s">
        <v>425</v>
      </c>
      <c r="C53" s="50" t="s">
        <v>83</v>
      </c>
      <c r="D53" s="36" t="s">
        <v>427</v>
      </c>
      <c r="E53" s="37" t="s">
        <v>45</v>
      </c>
      <c r="F53" s="38" t="s">
        <v>78</v>
      </c>
      <c r="G53" s="80" t="s">
        <v>135</v>
      </c>
      <c r="H53" s="82" t="s">
        <v>135</v>
      </c>
      <c r="I53" s="83" t="s">
        <v>135</v>
      </c>
      <c r="J53" s="43" t="s">
        <v>366</v>
      </c>
      <c r="K53" s="84" t="s">
        <v>135</v>
      </c>
    </row>
    <row r="54">
      <c r="A54" s="48">
        <v>177.0</v>
      </c>
      <c r="B54" s="50" t="s">
        <v>434</v>
      </c>
      <c r="C54" s="50" t="s">
        <v>83</v>
      </c>
      <c r="D54" s="36" t="s">
        <v>436</v>
      </c>
      <c r="E54" s="37" t="s">
        <v>45</v>
      </c>
      <c r="F54" s="38" t="s">
        <v>78</v>
      </c>
      <c r="G54" s="80" t="s">
        <v>135</v>
      </c>
      <c r="H54" s="82" t="s">
        <v>135</v>
      </c>
      <c r="I54" s="83" t="s">
        <v>135</v>
      </c>
      <c r="J54" s="43" t="s">
        <v>366</v>
      </c>
      <c r="K54" s="84" t="s">
        <v>135</v>
      </c>
    </row>
    <row r="55">
      <c r="A55" s="48">
        <v>21.0</v>
      </c>
      <c r="B55" s="50" t="s">
        <v>441</v>
      </c>
      <c r="C55" s="50" t="s">
        <v>83</v>
      </c>
      <c r="D55" s="36" t="s">
        <v>442</v>
      </c>
      <c r="E55" s="37" t="s">
        <v>45</v>
      </c>
      <c r="F55" s="38" t="s">
        <v>78</v>
      </c>
      <c r="G55" s="80" t="s">
        <v>135</v>
      </c>
      <c r="H55" s="82" t="s">
        <v>135</v>
      </c>
      <c r="I55" s="83" t="s">
        <v>135</v>
      </c>
      <c r="J55" s="43" t="s">
        <v>366</v>
      </c>
      <c r="K55" s="84" t="s">
        <v>135</v>
      </c>
    </row>
    <row r="56">
      <c r="A56" s="48">
        <v>120.0</v>
      </c>
      <c r="B56" s="50" t="s">
        <v>446</v>
      </c>
      <c r="C56" s="50" t="s">
        <v>186</v>
      </c>
      <c r="D56" s="36" t="s">
        <v>449</v>
      </c>
      <c r="E56" s="37" t="s">
        <v>45</v>
      </c>
      <c r="F56" s="38" t="s">
        <v>78</v>
      </c>
      <c r="G56" s="80" t="s">
        <v>135</v>
      </c>
      <c r="H56" s="82" t="s">
        <v>135</v>
      </c>
      <c r="I56" s="83" t="s">
        <v>135</v>
      </c>
      <c r="J56" s="43" t="s">
        <v>366</v>
      </c>
      <c r="K56" s="84" t="s">
        <v>135</v>
      </c>
    </row>
    <row r="57">
      <c r="A57" s="48">
        <v>25.0</v>
      </c>
      <c r="B57" s="50" t="s">
        <v>451</v>
      </c>
      <c r="C57" s="50" t="s">
        <v>186</v>
      </c>
      <c r="D57" s="36" t="s">
        <v>452</v>
      </c>
      <c r="E57" s="37" t="s">
        <v>45</v>
      </c>
      <c r="F57" s="38" t="s">
        <v>78</v>
      </c>
      <c r="G57" s="80" t="s">
        <v>135</v>
      </c>
      <c r="H57" s="82" t="s">
        <v>135</v>
      </c>
      <c r="I57" s="83" t="s">
        <v>135</v>
      </c>
      <c r="J57" s="43" t="s">
        <v>366</v>
      </c>
      <c r="K57" s="84" t="s">
        <v>135</v>
      </c>
    </row>
    <row r="58">
      <c r="A58" s="48">
        <v>110.0</v>
      </c>
      <c r="B58" s="50" t="s">
        <v>454</v>
      </c>
      <c r="C58" s="50" t="s">
        <v>186</v>
      </c>
      <c r="D58" s="36" t="s">
        <v>455</v>
      </c>
      <c r="E58" s="37" t="s">
        <v>45</v>
      </c>
      <c r="F58" s="38" t="s">
        <v>78</v>
      </c>
      <c r="G58" s="80" t="s">
        <v>135</v>
      </c>
      <c r="H58" s="82" t="s">
        <v>135</v>
      </c>
      <c r="I58" s="83" t="s">
        <v>135</v>
      </c>
      <c r="J58" s="43" t="s">
        <v>366</v>
      </c>
      <c r="K58" s="84" t="s">
        <v>135</v>
      </c>
    </row>
    <row r="59">
      <c r="A59" s="48">
        <v>122.0</v>
      </c>
      <c r="B59" s="50" t="s">
        <v>457</v>
      </c>
      <c r="C59" s="50" t="s">
        <v>186</v>
      </c>
      <c r="D59" s="36" t="s">
        <v>458</v>
      </c>
      <c r="E59" s="37" t="s">
        <v>45</v>
      </c>
      <c r="F59" s="38" t="s">
        <v>78</v>
      </c>
      <c r="G59" s="80" t="s">
        <v>135</v>
      </c>
      <c r="H59" s="82" t="s">
        <v>135</v>
      </c>
      <c r="I59" s="83" t="s">
        <v>135</v>
      </c>
      <c r="J59" s="43" t="s">
        <v>366</v>
      </c>
      <c r="K59" s="84" t="s">
        <v>135</v>
      </c>
    </row>
    <row r="60">
      <c r="A60" s="48">
        <v>77.0</v>
      </c>
      <c r="B60" s="50" t="s">
        <v>460</v>
      </c>
      <c r="C60" s="50" t="s">
        <v>186</v>
      </c>
      <c r="D60" s="36" t="s">
        <v>163</v>
      </c>
      <c r="E60" s="37" t="s">
        <v>45</v>
      </c>
      <c r="F60" s="38" t="s">
        <v>83</v>
      </c>
      <c r="G60" s="39">
        <v>500.0</v>
      </c>
      <c r="H60" s="41">
        <v>450.0</v>
      </c>
      <c r="I60" s="42">
        <v>540.0</v>
      </c>
      <c r="J60" s="43" t="s">
        <v>207</v>
      </c>
      <c r="K60" s="45">
        <v>400.0</v>
      </c>
    </row>
    <row r="61">
      <c r="A61" s="48">
        <v>40.0</v>
      </c>
      <c r="B61" s="50" t="s">
        <v>464</v>
      </c>
      <c r="C61" s="50" t="s">
        <v>91</v>
      </c>
      <c r="D61" s="36" t="s">
        <v>153</v>
      </c>
      <c r="E61" s="37" t="s">
        <v>45</v>
      </c>
      <c r="F61" s="38" t="s">
        <v>83</v>
      </c>
      <c r="G61" s="39">
        <v>185.0</v>
      </c>
      <c r="H61" s="41">
        <v>160.0</v>
      </c>
      <c r="I61" s="42">
        <v>195.0</v>
      </c>
      <c r="J61" s="43" t="s">
        <v>274</v>
      </c>
      <c r="K61" s="45">
        <v>140.0</v>
      </c>
    </row>
    <row r="62">
      <c r="A62" s="48">
        <v>121.0</v>
      </c>
      <c r="B62" s="50" t="s">
        <v>465</v>
      </c>
      <c r="C62" s="50" t="s">
        <v>186</v>
      </c>
      <c r="D62" s="36" t="s">
        <v>146</v>
      </c>
      <c r="E62" s="37" t="s">
        <v>45</v>
      </c>
      <c r="F62" s="38" t="s">
        <v>83</v>
      </c>
      <c r="G62" s="39">
        <v>0.022</v>
      </c>
      <c r="H62" s="41">
        <v>0.02</v>
      </c>
      <c r="I62" s="42">
        <v>0.023</v>
      </c>
      <c r="J62" s="43" t="s">
        <v>470</v>
      </c>
      <c r="K62" s="45">
        <v>0.017</v>
      </c>
    </row>
    <row r="63">
      <c r="A63" s="48">
        <v>109.0</v>
      </c>
      <c r="B63" s="50" t="s">
        <v>472</v>
      </c>
      <c r="C63" s="50" t="s">
        <v>186</v>
      </c>
      <c r="D63" s="36" t="s">
        <v>158</v>
      </c>
      <c r="E63" s="37" t="s">
        <v>45</v>
      </c>
      <c r="F63" s="38" t="s">
        <v>83</v>
      </c>
      <c r="G63" s="39">
        <v>250.0</v>
      </c>
      <c r="H63" s="41">
        <v>225.0</v>
      </c>
      <c r="I63" s="42">
        <v>270.0</v>
      </c>
      <c r="J63" s="43" t="s">
        <v>381</v>
      </c>
      <c r="K63" s="45">
        <v>200.0</v>
      </c>
    </row>
    <row r="64">
      <c r="A64" s="48">
        <v>225.0</v>
      </c>
      <c r="B64" s="50" t="s">
        <v>476</v>
      </c>
      <c r="C64" s="50" t="s">
        <v>186</v>
      </c>
      <c r="D64" s="36" t="s">
        <v>479</v>
      </c>
      <c r="E64" s="37" t="s">
        <v>45</v>
      </c>
      <c r="F64" s="38" t="s">
        <v>83</v>
      </c>
      <c r="G64" s="39">
        <v>0.022</v>
      </c>
      <c r="H64" s="41">
        <v>0.02</v>
      </c>
      <c r="I64" s="42">
        <v>0.023</v>
      </c>
      <c r="J64" s="43" t="s">
        <v>470</v>
      </c>
      <c r="K64" s="45">
        <v>0.017</v>
      </c>
    </row>
    <row r="65">
      <c r="A65" s="48">
        <v>131.0</v>
      </c>
      <c r="B65" s="50" t="s">
        <v>482</v>
      </c>
      <c r="C65" s="50" t="s">
        <v>186</v>
      </c>
      <c r="D65" s="36" t="s">
        <v>138</v>
      </c>
      <c r="E65" s="37" t="s">
        <v>45</v>
      </c>
      <c r="F65" s="38" t="s">
        <v>83</v>
      </c>
      <c r="G65" s="39">
        <v>0.016</v>
      </c>
      <c r="H65" s="41">
        <v>0.013</v>
      </c>
      <c r="I65" s="42">
        <v>0.017</v>
      </c>
      <c r="J65" s="43" t="s">
        <v>486</v>
      </c>
      <c r="K65" s="45">
        <v>0.012</v>
      </c>
    </row>
    <row r="66">
      <c r="A66" s="48">
        <v>32.0</v>
      </c>
      <c r="B66" s="50" t="s">
        <v>489</v>
      </c>
      <c r="C66" s="50" t="s">
        <v>186</v>
      </c>
      <c r="D66" s="36" t="s">
        <v>156</v>
      </c>
      <c r="E66" s="37" t="s">
        <v>45</v>
      </c>
      <c r="F66" s="38" t="s">
        <v>83</v>
      </c>
      <c r="G66" s="39">
        <v>250.0</v>
      </c>
      <c r="H66" s="41">
        <v>225.0</v>
      </c>
      <c r="I66" s="42">
        <v>270.0</v>
      </c>
      <c r="J66" s="43" t="s">
        <v>381</v>
      </c>
      <c r="K66" s="45">
        <v>200.0</v>
      </c>
    </row>
    <row r="67">
      <c r="A67" s="48">
        <v>33.0</v>
      </c>
      <c r="B67" s="50" t="s">
        <v>496</v>
      </c>
      <c r="C67" s="50" t="s">
        <v>186</v>
      </c>
      <c r="D67" s="36" t="s">
        <v>498</v>
      </c>
      <c r="E67" s="37" t="s">
        <v>45</v>
      </c>
      <c r="F67" s="38" t="s">
        <v>83</v>
      </c>
      <c r="G67" s="39">
        <v>0.016</v>
      </c>
      <c r="H67" s="41">
        <v>0.013</v>
      </c>
      <c r="I67" s="42">
        <v>0.017</v>
      </c>
      <c r="J67" s="43" t="s">
        <v>486</v>
      </c>
      <c r="K67" s="45">
        <v>0.012</v>
      </c>
    </row>
    <row r="68">
      <c r="A68" s="48">
        <v>10.0</v>
      </c>
      <c r="B68" s="50" t="s">
        <v>501</v>
      </c>
      <c r="C68" s="50" t="s">
        <v>186</v>
      </c>
      <c r="D68" s="36" t="s">
        <v>149</v>
      </c>
      <c r="E68" s="37" t="s">
        <v>45</v>
      </c>
      <c r="F68" s="38" t="s">
        <v>83</v>
      </c>
      <c r="G68" s="39">
        <v>0.043</v>
      </c>
      <c r="H68" s="41">
        <v>0.038</v>
      </c>
      <c r="I68" s="42">
        <v>0.045</v>
      </c>
      <c r="J68" s="43" t="s">
        <v>504</v>
      </c>
      <c r="K68" s="45">
        <v>0.033</v>
      </c>
    </row>
    <row r="69">
      <c r="A69" s="48">
        <v>22.0</v>
      </c>
      <c r="B69" s="50" t="s">
        <v>506</v>
      </c>
      <c r="C69" s="50" t="s">
        <v>186</v>
      </c>
      <c r="D69" s="36" t="s">
        <v>160</v>
      </c>
      <c r="E69" s="37" t="s">
        <v>45</v>
      </c>
      <c r="F69" s="38" t="s">
        <v>83</v>
      </c>
      <c r="G69" s="39">
        <v>500.0</v>
      </c>
      <c r="H69" s="41">
        <v>450.0</v>
      </c>
      <c r="I69" s="42">
        <v>540.0</v>
      </c>
      <c r="J69" s="43" t="s">
        <v>207</v>
      </c>
      <c r="K69" s="45">
        <v>400.0</v>
      </c>
    </row>
    <row r="70">
      <c r="A70" s="48">
        <v>28.0</v>
      </c>
      <c r="B70" s="50" t="s">
        <v>507</v>
      </c>
      <c r="C70" s="50" t="s">
        <v>186</v>
      </c>
      <c r="D70" s="36" t="s">
        <v>147</v>
      </c>
      <c r="E70" s="37" t="s">
        <v>45</v>
      </c>
      <c r="F70" s="38" t="s">
        <v>83</v>
      </c>
      <c r="G70" s="39">
        <v>0.043</v>
      </c>
      <c r="H70" s="41">
        <v>0.038</v>
      </c>
      <c r="I70" s="42">
        <v>0.045</v>
      </c>
      <c r="J70" s="43" t="s">
        <v>504</v>
      </c>
      <c r="K70" s="45">
        <v>0.033</v>
      </c>
    </row>
    <row r="71">
      <c r="A71" s="48">
        <v>124.0</v>
      </c>
      <c r="B71" s="50" t="s">
        <v>509</v>
      </c>
      <c r="C71" s="50" t="s">
        <v>186</v>
      </c>
      <c r="D71" s="36" t="s">
        <v>140</v>
      </c>
      <c r="E71" s="37" t="s">
        <v>45</v>
      </c>
      <c r="F71" s="38" t="s">
        <v>83</v>
      </c>
      <c r="G71" s="39">
        <v>0.016</v>
      </c>
      <c r="H71" s="41">
        <v>0.013</v>
      </c>
      <c r="I71" s="42">
        <v>0.017</v>
      </c>
      <c r="J71" s="43" t="s">
        <v>486</v>
      </c>
      <c r="K71" s="45">
        <v>0.012</v>
      </c>
    </row>
    <row r="72">
      <c r="A72" s="48">
        <v>196.0</v>
      </c>
      <c r="B72" s="50" t="s">
        <v>512</v>
      </c>
      <c r="C72" s="50" t="s">
        <v>91</v>
      </c>
      <c r="D72" s="36" t="s">
        <v>151</v>
      </c>
      <c r="E72" s="37" t="s">
        <v>45</v>
      </c>
      <c r="F72" s="38" t="s">
        <v>83</v>
      </c>
      <c r="G72" s="39">
        <v>149.0</v>
      </c>
      <c r="H72" s="41">
        <v>140.0</v>
      </c>
      <c r="I72" s="42">
        <v>159.0</v>
      </c>
      <c r="J72" s="43" t="s">
        <v>513</v>
      </c>
      <c r="K72" s="45">
        <v>120.0</v>
      </c>
    </row>
    <row r="73">
      <c r="A73" s="48">
        <v>57.0</v>
      </c>
      <c r="B73" s="50" t="s">
        <v>515</v>
      </c>
      <c r="C73" s="50" t="s">
        <v>91</v>
      </c>
      <c r="D73" s="36" t="s">
        <v>136</v>
      </c>
      <c r="E73" s="37" t="s">
        <v>45</v>
      </c>
      <c r="F73" s="38" t="s">
        <v>83</v>
      </c>
      <c r="G73" s="39">
        <v>0.008</v>
      </c>
      <c r="H73" s="41">
        <v>0.006</v>
      </c>
      <c r="I73" s="42">
        <v>0.009</v>
      </c>
      <c r="J73" s="43" t="s">
        <v>516</v>
      </c>
      <c r="K73" s="45">
        <v>0.005</v>
      </c>
    </row>
    <row r="74">
      <c r="A74" s="48">
        <v>129.0</v>
      </c>
      <c r="B74" s="50" t="s">
        <v>518</v>
      </c>
      <c r="C74" s="50" t="s">
        <v>91</v>
      </c>
      <c r="D74" s="36" t="s">
        <v>164</v>
      </c>
      <c r="E74" s="37" t="s">
        <v>45</v>
      </c>
      <c r="F74" s="38" t="s">
        <v>83</v>
      </c>
      <c r="G74" s="39">
        <v>520.0</v>
      </c>
      <c r="H74" s="41">
        <v>450.0</v>
      </c>
      <c r="I74" s="42">
        <v>560.0</v>
      </c>
      <c r="J74" s="43" t="s">
        <v>207</v>
      </c>
      <c r="K74" s="45">
        <v>400.0</v>
      </c>
    </row>
    <row r="75">
      <c r="A75" s="48">
        <v>211.0</v>
      </c>
      <c r="B75" s="50" t="s">
        <v>520</v>
      </c>
      <c r="C75" s="50" t="s">
        <v>91</v>
      </c>
      <c r="D75" s="36" t="s">
        <v>490</v>
      </c>
      <c r="E75" s="37" t="s">
        <v>45</v>
      </c>
      <c r="F75" s="38" t="s">
        <v>83</v>
      </c>
      <c r="G75" s="39">
        <v>399.0</v>
      </c>
      <c r="H75" s="41">
        <v>349.0</v>
      </c>
      <c r="I75" s="42">
        <v>439.0</v>
      </c>
      <c r="J75" s="43" t="s">
        <v>397</v>
      </c>
      <c r="K75" s="45">
        <v>325.0</v>
      </c>
    </row>
    <row r="76">
      <c r="A76" s="48">
        <v>203.0</v>
      </c>
      <c r="B76" s="50" t="s">
        <v>523</v>
      </c>
      <c r="C76" s="50" t="s">
        <v>91</v>
      </c>
      <c r="D76" s="36" t="s">
        <v>495</v>
      </c>
      <c r="E76" s="37" t="s">
        <v>45</v>
      </c>
      <c r="F76" s="38" t="s">
        <v>83</v>
      </c>
      <c r="G76" s="39">
        <v>499.0</v>
      </c>
      <c r="H76" s="41">
        <v>449.0</v>
      </c>
      <c r="I76" s="42">
        <v>549.0</v>
      </c>
      <c r="J76" s="43" t="s">
        <v>155</v>
      </c>
      <c r="K76" s="45">
        <v>399.0</v>
      </c>
    </row>
    <row r="77">
      <c r="A77" s="48">
        <v>178.0</v>
      </c>
      <c r="B77" s="50" t="s">
        <v>525</v>
      </c>
      <c r="C77" s="50" t="s">
        <v>91</v>
      </c>
      <c r="D77" s="36" t="s">
        <v>134</v>
      </c>
      <c r="E77" s="37" t="s">
        <v>45</v>
      </c>
      <c r="F77" s="38" t="s">
        <v>83</v>
      </c>
      <c r="G77" s="80" t="s">
        <v>135</v>
      </c>
      <c r="H77" s="82" t="s">
        <v>135</v>
      </c>
      <c r="I77" s="83" t="s">
        <v>135</v>
      </c>
      <c r="J77" s="43" t="s">
        <v>366</v>
      </c>
      <c r="K77" s="84" t="s">
        <v>135</v>
      </c>
    </row>
    <row r="78">
      <c r="A78" s="48">
        <v>197.0</v>
      </c>
      <c r="B78" s="50" t="s">
        <v>528</v>
      </c>
      <c r="C78" s="50" t="s">
        <v>91</v>
      </c>
      <c r="D78" s="36" t="s">
        <v>142</v>
      </c>
      <c r="E78" s="37" t="s">
        <v>45</v>
      </c>
      <c r="F78" s="38" t="s">
        <v>83</v>
      </c>
      <c r="G78" s="39">
        <v>0.021</v>
      </c>
      <c r="H78" s="41">
        <v>0.018</v>
      </c>
      <c r="I78" s="42">
        <v>0.022</v>
      </c>
      <c r="J78" s="43" t="s">
        <v>530</v>
      </c>
      <c r="K78" s="45">
        <v>0.016</v>
      </c>
    </row>
    <row r="79">
      <c r="A79" s="48">
        <v>198.0</v>
      </c>
      <c r="B79" s="50" t="s">
        <v>531</v>
      </c>
      <c r="C79" s="50" t="s">
        <v>91</v>
      </c>
      <c r="D79" s="36" t="s">
        <v>180</v>
      </c>
      <c r="E79" s="37" t="s">
        <v>45</v>
      </c>
      <c r="F79" s="38" t="s">
        <v>532</v>
      </c>
      <c r="G79" s="39">
        <v>205.0</v>
      </c>
      <c r="H79" s="41">
        <v>180.0</v>
      </c>
      <c r="I79" s="42">
        <v>220.0</v>
      </c>
      <c r="J79" s="43" t="s">
        <v>533</v>
      </c>
      <c r="K79" s="45">
        <v>160.0</v>
      </c>
    </row>
    <row r="80">
      <c r="A80" s="48">
        <v>49.0</v>
      </c>
      <c r="B80" s="50" t="s">
        <v>534</v>
      </c>
      <c r="C80" s="50" t="s">
        <v>91</v>
      </c>
      <c r="D80" s="36" t="s">
        <v>184</v>
      </c>
      <c r="E80" s="37" t="s">
        <v>45</v>
      </c>
      <c r="F80" s="38" t="s">
        <v>532</v>
      </c>
      <c r="G80" s="39">
        <v>410.0</v>
      </c>
      <c r="H80" s="41">
        <v>350.0</v>
      </c>
      <c r="I80" s="42">
        <v>440.0</v>
      </c>
      <c r="J80" s="43" t="s">
        <v>397</v>
      </c>
      <c r="K80" s="45">
        <v>325.0</v>
      </c>
    </row>
    <row r="81">
      <c r="A81" s="48">
        <v>200.0</v>
      </c>
      <c r="B81" s="50" t="s">
        <v>535</v>
      </c>
      <c r="C81" s="50" t="s">
        <v>91</v>
      </c>
      <c r="D81" s="36" t="s">
        <v>167</v>
      </c>
      <c r="E81" s="37" t="s">
        <v>45</v>
      </c>
      <c r="F81" s="38" t="s">
        <v>532</v>
      </c>
      <c r="G81" s="39">
        <v>50.0</v>
      </c>
      <c r="H81" s="41">
        <v>40.0</v>
      </c>
      <c r="I81" s="42">
        <v>55.0</v>
      </c>
      <c r="J81" s="43" t="s">
        <v>536</v>
      </c>
      <c r="K81" s="45">
        <v>40.0</v>
      </c>
    </row>
    <row r="82">
      <c r="A82" s="48">
        <v>209.0</v>
      </c>
      <c r="B82" s="50" t="s">
        <v>537</v>
      </c>
      <c r="C82" s="50" t="s">
        <v>91</v>
      </c>
      <c r="D82" s="36" t="s">
        <v>172</v>
      </c>
      <c r="E82" s="37" t="s">
        <v>45</v>
      </c>
      <c r="F82" s="38" t="s">
        <v>532</v>
      </c>
      <c r="G82" s="39">
        <v>65.0</v>
      </c>
      <c r="H82" s="41">
        <v>55.0</v>
      </c>
      <c r="I82" s="42">
        <v>70.0</v>
      </c>
      <c r="J82" s="43" t="s">
        <v>122</v>
      </c>
      <c r="K82" s="45">
        <v>50.0</v>
      </c>
    </row>
    <row r="83">
      <c r="A83" s="48">
        <v>176.0</v>
      </c>
      <c r="B83" s="50" t="s">
        <v>538</v>
      </c>
      <c r="C83" s="50" t="s">
        <v>83</v>
      </c>
      <c r="D83" s="36" t="s">
        <v>176</v>
      </c>
      <c r="E83" s="37" t="s">
        <v>45</v>
      </c>
      <c r="F83" s="38" t="s">
        <v>532</v>
      </c>
      <c r="G83" s="39">
        <v>80.0</v>
      </c>
      <c r="H83" s="41">
        <v>70.0</v>
      </c>
      <c r="I83" s="42">
        <v>85.0</v>
      </c>
      <c r="J83" s="43" t="s">
        <v>421</v>
      </c>
      <c r="K83" s="45">
        <v>60.0</v>
      </c>
    </row>
    <row r="84">
      <c r="A84" s="48">
        <v>8.0</v>
      </c>
      <c r="B84" s="50" t="s">
        <v>539</v>
      </c>
      <c r="C84" s="50" t="s">
        <v>186</v>
      </c>
      <c r="D84" s="36" t="s">
        <v>187</v>
      </c>
      <c r="E84" s="37" t="s">
        <v>45</v>
      </c>
      <c r="F84" s="38" t="s">
        <v>532</v>
      </c>
      <c r="G84" s="39">
        <v>1499.0</v>
      </c>
      <c r="H84" s="41">
        <v>1299.0</v>
      </c>
      <c r="I84" s="42">
        <v>1649.0</v>
      </c>
      <c r="J84" s="43" t="s">
        <v>540</v>
      </c>
      <c r="K84" s="45">
        <v>1199.0</v>
      </c>
    </row>
    <row r="85">
      <c r="A85" s="48">
        <v>183.0</v>
      </c>
      <c r="B85" s="50" t="s">
        <v>541</v>
      </c>
      <c r="C85" s="50" t="s">
        <v>186</v>
      </c>
      <c r="D85" s="36" t="s">
        <v>189</v>
      </c>
      <c r="E85" s="37" t="s">
        <v>45</v>
      </c>
      <c r="F85" s="38" t="s">
        <v>532</v>
      </c>
      <c r="G85" s="39">
        <v>2849.0</v>
      </c>
      <c r="H85" s="41">
        <v>2399.0</v>
      </c>
      <c r="I85" s="42">
        <v>3099.0</v>
      </c>
      <c r="J85" s="43" t="s">
        <v>93</v>
      </c>
      <c r="K85" s="45">
        <v>2199.0</v>
      </c>
    </row>
    <row r="86">
      <c r="A86" s="48">
        <v>164.0</v>
      </c>
      <c r="B86" s="50" t="s">
        <v>542</v>
      </c>
      <c r="C86" s="50" t="s">
        <v>186</v>
      </c>
      <c r="D86" s="36" t="s">
        <v>385</v>
      </c>
      <c r="E86" s="37" t="s">
        <v>45</v>
      </c>
      <c r="F86" s="38" t="s">
        <v>91</v>
      </c>
      <c r="G86" s="39">
        <v>2349.0</v>
      </c>
      <c r="H86" s="41">
        <v>2025.0</v>
      </c>
      <c r="I86" s="42">
        <v>2549.0</v>
      </c>
      <c r="J86" s="43" t="s">
        <v>543</v>
      </c>
      <c r="K86" s="45">
        <v>1800.0</v>
      </c>
    </row>
    <row r="87">
      <c r="A87" s="48">
        <v>163.0</v>
      </c>
      <c r="B87" s="50" t="s">
        <v>544</v>
      </c>
      <c r="C87" s="50" t="s">
        <v>186</v>
      </c>
      <c r="D87" s="36" t="s">
        <v>392</v>
      </c>
      <c r="E87" s="37" t="s">
        <v>45</v>
      </c>
      <c r="F87" s="38" t="s">
        <v>91</v>
      </c>
      <c r="G87" s="39">
        <v>3699.0</v>
      </c>
      <c r="H87" s="41">
        <v>2999.0</v>
      </c>
      <c r="I87" s="42">
        <v>3999.0</v>
      </c>
      <c r="J87" s="43" t="s">
        <v>545</v>
      </c>
      <c r="K87" s="45">
        <v>2699.0</v>
      </c>
    </row>
    <row r="88">
      <c r="A88" s="48">
        <v>39.0</v>
      </c>
      <c r="B88" s="50" t="s">
        <v>546</v>
      </c>
      <c r="C88" s="50" t="s">
        <v>186</v>
      </c>
      <c r="D88" s="36" t="s">
        <v>368</v>
      </c>
      <c r="E88" s="37" t="s">
        <v>45</v>
      </c>
      <c r="F88" s="38" t="s">
        <v>91</v>
      </c>
      <c r="G88" s="39">
        <v>1050.0</v>
      </c>
      <c r="H88" s="41">
        <v>900.0</v>
      </c>
      <c r="I88" s="42">
        <v>1120.0</v>
      </c>
      <c r="J88" s="43" t="s">
        <v>547</v>
      </c>
      <c r="K88" s="45">
        <v>800.0</v>
      </c>
    </row>
    <row r="89">
      <c r="A89" s="48">
        <v>51.0</v>
      </c>
      <c r="B89" s="50" t="s">
        <v>548</v>
      </c>
      <c r="C89" s="50" t="s">
        <v>186</v>
      </c>
      <c r="D89" s="36" t="s">
        <v>389</v>
      </c>
      <c r="E89" s="37" t="s">
        <v>45</v>
      </c>
      <c r="F89" s="38" t="s">
        <v>91</v>
      </c>
      <c r="G89" s="39">
        <v>3699.0</v>
      </c>
      <c r="H89" s="41">
        <v>2999.0</v>
      </c>
      <c r="I89" s="42">
        <v>3999.0</v>
      </c>
      <c r="J89" s="43" t="s">
        <v>545</v>
      </c>
      <c r="K89" s="45">
        <v>2699.0</v>
      </c>
    </row>
    <row r="90">
      <c r="A90" s="48">
        <v>75.0</v>
      </c>
      <c r="B90" s="50" t="s">
        <v>549</v>
      </c>
      <c r="C90" s="50" t="s">
        <v>91</v>
      </c>
      <c r="D90" s="36" t="s">
        <v>382</v>
      </c>
      <c r="E90" s="37" t="s">
        <v>45</v>
      </c>
      <c r="F90" s="38" t="s">
        <v>91</v>
      </c>
      <c r="G90" s="39">
        <v>2349.0</v>
      </c>
      <c r="H90" s="41">
        <v>2025.0</v>
      </c>
      <c r="I90" s="42">
        <v>2549.0</v>
      </c>
      <c r="J90" s="43" t="s">
        <v>543</v>
      </c>
      <c r="K90" s="45">
        <v>1800.0</v>
      </c>
    </row>
    <row r="91">
      <c r="A91" s="48">
        <v>26.0</v>
      </c>
      <c r="B91" s="50" t="s">
        <v>550</v>
      </c>
      <c r="C91" s="50" t="s">
        <v>186</v>
      </c>
      <c r="D91" s="36" t="s">
        <v>377</v>
      </c>
      <c r="E91" s="37" t="s">
        <v>45</v>
      </c>
      <c r="F91" s="38" t="s">
        <v>91</v>
      </c>
      <c r="G91" s="39">
        <v>2099.0</v>
      </c>
      <c r="H91" s="41">
        <v>1799.0</v>
      </c>
      <c r="I91" s="42">
        <v>2249.0</v>
      </c>
      <c r="J91" s="43" t="s">
        <v>551</v>
      </c>
      <c r="K91" s="45">
        <v>1599.0</v>
      </c>
    </row>
    <row r="92">
      <c r="A92" s="48">
        <v>35.0</v>
      </c>
      <c r="B92" s="50" t="s">
        <v>552</v>
      </c>
      <c r="C92" s="50" t="s">
        <v>186</v>
      </c>
      <c r="D92" s="36" t="s">
        <v>289</v>
      </c>
      <c r="E92" s="37" t="s">
        <v>45</v>
      </c>
      <c r="F92" s="38" t="s">
        <v>91</v>
      </c>
      <c r="G92" s="39">
        <v>520.0</v>
      </c>
      <c r="H92" s="41">
        <v>450.0</v>
      </c>
      <c r="I92" s="42">
        <v>560.0</v>
      </c>
      <c r="J92" s="43" t="s">
        <v>207</v>
      </c>
      <c r="K92" s="45">
        <v>400.0</v>
      </c>
    </row>
    <row r="93">
      <c r="A93" s="48">
        <v>106.0</v>
      </c>
      <c r="B93" s="50" t="s">
        <v>553</v>
      </c>
      <c r="C93" s="50" t="s">
        <v>186</v>
      </c>
      <c r="D93" s="36" t="s">
        <v>286</v>
      </c>
      <c r="E93" s="37" t="s">
        <v>45</v>
      </c>
      <c r="F93" s="38" t="s">
        <v>91</v>
      </c>
      <c r="G93" s="39">
        <v>520.0</v>
      </c>
      <c r="H93" s="41">
        <v>450.0</v>
      </c>
      <c r="I93" s="42">
        <v>560.0</v>
      </c>
      <c r="J93" s="43" t="s">
        <v>207</v>
      </c>
      <c r="K93" s="45">
        <v>400.0</v>
      </c>
    </row>
    <row r="94">
      <c r="A94" s="48">
        <v>179.0</v>
      </c>
      <c r="B94" s="50" t="s">
        <v>554</v>
      </c>
      <c r="C94" s="50" t="s">
        <v>91</v>
      </c>
      <c r="D94" s="36" t="s">
        <v>262</v>
      </c>
      <c r="E94" s="37" t="s">
        <v>45</v>
      </c>
      <c r="F94" s="38" t="s">
        <v>91</v>
      </c>
      <c r="G94" s="39">
        <v>275.0</v>
      </c>
      <c r="H94" s="41">
        <v>225.0</v>
      </c>
      <c r="I94" s="42">
        <v>295.0</v>
      </c>
      <c r="J94" s="43" t="s">
        <v>381</v>
      </c>
      <c r="K94" s="45">
        <v>200.0</v>
      </c>
    </row>
    <row r="95">
      <c r="A95" s="48">
        <v>180.0</v>
      </c>
      <c r="B95" s="50" t="s">
        <v>555</v>
      </c>
      <c r="C95" s="50" t="s">
        <v>91</v>
      </c>
      <c r="D95" s="36" t="s">
        <v>372</v>
      </c>
      <c r="E95" s="37" t="s">
        <v>45</v>
      </c>
      <c r="F95" s="38" t="s">
        <v>91</v>
      </c>
      <c r="G95" s="39">
        <v>1300.0</v>
      </c>
      <c r="H95" s="41">
        <v>1050.0</v>
      </c>
      <c r="I95" s="42">
        <v>1400.0</v>
      </c>
      <c r="J95" s="43" t="s">
        <v>556</v>
      </c>
      <c r="K95" s="45">
        <v>950.0</v>
      </c>
    </row>
    <row r="96">
      <c r="A96" s="48">
        <v>181.0</v>
      </c>
      <c r="B96" s="50" t="s">
        <v>557</v>
      </c>
      <c r="C96" s="50" t="s">
        <v>91</v>
      </c>
      <c r="D96" s="36" t="s">
        <v>345</v>
      </c>
      <c r="E96" s="37" t="s">
        <v>45</v>
      </c>
      <c r="F96" s="38" t="s">
        <v>91</v>
      </c>
      <c r="G96" s="39">
        <v>675.0</v>
      </c>
      <c r="H96" s="41">
        <v>550.0</v>
      </c>
      <c r="I96" s="42">
        <v>725.0</v>
      </c>
      <c r="J96" s="43" t="s">
        <v>558</v>
      </c>
      <c r="K96" s="45">
        <v>500.0</v>
      </c>
    </row>
    <row r="97">
      <c r="A97" s="48">
        <v>226.0</v>
      </c>
      <c r="B97" s="50" t="s">
        <v>559</v>
      </c>
      <c r="C97" s="50" t="s">
        <v>83</v>
      </c>
      <c r="D97" s="36" t="s">
        <v>560</v>
      </c>
      <c r="E97" s="37" t="s">
        <v>45</v>
      </c>
      <c r="F97" s="38" t="s">
        <v>91</v>
      </c>
      <c r="G97" s="39">
        <v>625.0</v>
      </c>
      <c r="H97" s="41">
        <v>500.0</v>
      </c>
      <c r="I97" s="42">
        <v>675.0</v>
      </c>
      <c r="J97" s="43" t="s">
        <v>561</v>
      </c>
      <c r="K97" s="45">
        <v>450.0</v>
      </c>
    </row>
    <row r="98">
      <c r="A98" s="48">
        <v>58.0</v>
      </c>
      <c r="B98" s="50" t="s">
        <v>562</v>
      </c>
      <c r="C98" s="50" t="s">
        <v>91</v>
      </c>
      <c r="D98" s="36" t="s">
        <v>197</v>
      </c>
      <c r="E98" s="37" t="s">
        <v>45</v>
      </c>
      <c r="F98" s="38" t="s">
        <v>91</v>
      </c>
      <c r="G98" s="39">
        <v>99.0</v>
      </c>
      <c r="H98" s="41">
        <v>89.0</v>
      </c>
      <c r="I98" s="42">
        <v>109.0</v>
      </c>
      <c r="J98" s="43" t="s">
        <v>191</v>
      </c>
      <c r="K98" s="45">
        <v>79.0</v>
      </c>
    </row>
    <row r="99">
      <c r="A99" s="48">
        <v>174.0</v>
      </c>
      <c r="B99" s="50" t="s">
        <v>563</v>
      </c>
      <c r="C99" s="50" t="s">
        <v>186</v>
      </c>
      <c r="D99" s="36" t="s">
        <v>208</v>
      </c>
      <c r="E99" s="37" t="s">
        <v>45</v>
      </c>
      <c r="F99" s="38" t="s">
        <v>91</v>
      </c>
      <c r="G99" s="39">
        <v>179.0</v>
      </c>
      <c r="H99" s="41">
        <v>160.0</v>
      </c>
      <c r="I99" s="42">
        <v>190.0</v>
      </c>
      <c r="J99" s="43" t="s">
        <v>274</v>
      </c>
      <c r="K99" s="45">
        <v>150.0</v>
      </c>
    </row>
    <row r="100">
      <c r="A100" s="48">
        <v>128.0</v>
      </c>
      <c r="B100" s="50" t="s">
        <v>565</v>
      </c>
      <c r="C100" s="50" t="s">
        <v>186</v>
      </c>
      <c r="D100" s="36" t="s">
        <v>212</v>
      </c>
      <c r="E100" s="37" t="s">
        <v>45</v>
      </c>
      <c r="F100" s="38" t="s">
        <v>91</v>
      </c>
      <c r="G100" s="39">
        <v>239.0</v>
      </c>
      <c r="H100" s="41">
        <v>205.0</v>
      </c>
      <c r="I100" s="42">
        <v>250.0</v>
      </c>
      <c r="J100" s="43" t="s">
        <v>566</v>
      </c>
      <c r="K100" s="45">
        <v>160.0</v>
      </c>
    </row>
    <row r="101">
      <c r="A101" s="48">
        <v>119.0</v>
      </c>
      <c r="B101" s="50" t="s">
        <v>567</v>
      </c>
      <c r="C101" s="50" t="s">
        <v>186</v>
      </c>
      <c r="D101" s="36" t="s">
        <v>314</v>
      </c>
      <c r="E101" s="37" t="s">
        <v>45</v>
      </c>
      <c r="F101" s="38" t="s">
        <v>91</v>
      </c>
      <c r="G101" s="39">
        <v>520.0</v>
      </c>
      <c r="H101" s="41">
        <v>450.0</v>
      </c>
      <c r="I101" s="42">
        <v>560.0</v>
      </c>
      <c r="J101" s="43" t="s">
        <v>207</v>
      </c>
      <c r="K101" s="45">
        <v>400.0</v>
      </c>
    </row>
    <row r="102">
      <c r="A102" s="48">
        <v>127.0</v>
      </c>
      <c r="B102" s="50" t="s">
        <v>570</v>
      </c>
      <c r="C102" s="50" t="s">
        <v>186</v>
      </c>
      <c r="D102" s="36" t="s">
        <v>300</v>
      </c>
      <c r="E102" s="37" t="s">
        <v>45</v>
      </c>
      <c r="F102" s="38" t="s">
        <v>91</v>
      </c>
      <c r="G102" s="39">
        <v>520.0</v>
      </c>
      <c r="H102" s="41">
        <v>450.0</v>
      </c>
      <c r="I102" s="42">
        <v>560.0</v>
      </c>
      <c r="J102" s="43" t="s">
        <v>207</v>
      </c>
      <c r="K102" s="45">
        <v>400.0</v>
      </c>
    </row>
    <row r="103">
      <c r="A103" s="48">
        <v>78.0</v>
      </c>
      <c r="B103" s="50" t="s">
        <v>572</v>
      </c>
      <c r="C103" s="50" t="s">
        <v>186</v>
      </c>
      <c r="D103" s="36" t="s">
        <v>236</v>
      </c>
      <c r="E103" s="37" t="s">
        <v>45</v>
      </c>
      <c r="F103" s="38" t="s">
        <v>91</v>
      </c>
      <c r="G103" s="39">
        <v>260.0</v>
      </c>
      <c r="H103" s="41">
        <v>225.0</v>
      </c>
      <c r="I103" s="42">
        <v>280.0</v>
      </c>
      <c r="J103" s="43" t="s">
        <v>381</v>
      </c>
      <c r="K103" s="45">
        <v>200.0</v>
      </c>
    </row>
    <row r="104">
      <c r="A104" s="48">
        <v>112.0</v>
      </c>
      <c r="B104" s="101" t="s">
        <v>574</v>
      </c>
      <c r="C104" s="50"/>
      <c r="D104" s="36" t="s">
        <v>190</v>
      </c>
      <c r="E104" s="37" t="s">
        <v>45</v>
      </c>
      <c r="F104" s="38" t="s">
        <v>91</v>
      </c>
      <c r="G104" s="39">
        <v>1.0</v>
      </c>
      <c r="H104" s="41">
        <v>1.0</v>
      </c>
      <c r="I104" s="42">
        <v>1.0</v>
      </c>
      <c r="J104" s="43" t="s">
        <v>126</v>
      </c>
      <c r="K104" s="45">
        <v>1.0</v>
      </c>
    </row>
    <row r="105">
      <c r="A105" s="48">
        <v>132.0</v>
      </c>
      <c r="B105" s="50" t="s">
        <v>578</v>
      </c>
      <c r="C105" s="50" t="s">
        <v>91</v>
      </c>
      <c r="D105" s="36" t="s">
        <v>232</v>
      </c>
      <c r="E105" s="37" t="s">
        <v>45</v>
      </c>
      <c r="F105" s="38" t="s">
        <v>91</v>
      </c>
      <c r="G105" s="39">
        <v>260.0</v>
      </c>
      <c r="H105" s="41">
        <v>225.0</v>
      </c>
      <c r="I105" s="42">
        <v>280.0</v>
      </c>
      <c r="J105" s="43" t="s">
        <v>381</v>
      </c>
      <c r="K105" s="45">
        <v>200.0</v>
      </c>
    </row>
    <row r="106">
      <c r="A106" s="48">
        <v>126.0</v>
      </c>
      <c r="B106" s="50" t="s">
        <v>582</v>
      </c>
      <c r="C106" s="50" t="s">
        <v>186</v>
      </c>
      <c r="D106" s="36" t="s">
        <v>330</v>
      </c>
      <c r="E106" s="37" t="s">
        <v>45</v>
      </c>
      <c r="F106" s="38" t="s">
        <v>91</v>
      </c>
      <c r="G106" s="39">
        <v>520.0</v>
      </c>
      <c r="H106" s="41">
        <v>450.0</v>
      </c>
      <c r="I106" s="42">
        <v>560.0</v>
      </c>
      <c r="J106" s="43" t="s">
        <v>207</v>
      </c>
      <c r="K106" s="45">
        <v>400.0</v>
      </c>
    </row>
    <row r="107">
      <c r="A107" s="48">
        <v>175.0</v>
      </c>
      <c r="B107" s="50" t="s">
        <v>583</v>
      </c>
      <c r="C107" s="50" t="s">
        <v>186</v>
      </c>
      <c r="D107" s="36" t="s">
        <v>355</v>
      </c>
      <c r="E107" s="37" t="s">
        <v>45</v>
      </c>
      <c r="F107" s="38" t="s">
        <v>91</v>
      </c>
      <c r="G107" s="39">
        <v>780.0</v>
      </c>
      <c r="H107" s="41">
        <v>675.0</v>
      </c>
      <c r="I107" s="42">
        <v>840.0</v>
      </c>
      <c r="J107" s="43" t="s">
        <v>238</v>
      </c>
      <c r="K107" s="45">
        <v>600.0</v>
      </c>
    </row>
    <row r="108">
      <c r="A108" s="48">
        <v>9.0</v>
      </c>
      <c r="B108" s="50" t="s">
        <v>584</v>
      </c>
      <c r="C108" s="50" t="s">
        <v>31</v>
      </c>
      <c r="D108" s="36" t="s">
        <v>296</v>
      </c>
      <c r="E108" s="37" t="s">
        <v>45</v>
      </c>
      <c r="F108" s="38" t="s">
        <v>91</v>
      </c>
      <c r="G108" s="39">
        <v>520.0</v>
      </c>
      <c r="H108" s="41">
        <v>450.0</v>
      </c>
      <c r="I108" s="42">
        <v>560.0</v>
      </c>
      <c r="J108" s="43" t="s">
        <v>207</v>
      </c>
      <c r="K108" s="45">
        <v>400.0</v>
      </c>
    </row>
    <row r="109">
      <c r="A109" s="48">
        <v>173.0</v>
      </c>
      <c r="B109" s="50" t="s">
        <v>585</v>
      </c>
      <c r="C109" s="50" t="s">
        <v>186</v>
      </c>
      <c r="D109" s="36" t="s">
        <v>218</v>
      </c>
      <c r="E109" s="37" t="s">
        <v>45</v>
      </c>
      <c r="F109" s="38" t="s">
        <v>91</v>
      </c>
      <c r="G109" s="39">
        <v>260.0</v>
      </c>
      <c r="H109" s="41">
        <v>225.0</v>
      </c>
      <c r="I109" s="42">
        <v>280.0</v>
      </c>
      <c r="J109" s="43" t="s">
        <v>381</v>
      </c>
      <c r="K109" s="45">
        <v>200.0</v>
      </c>
    </row>
    <row r="110">
      <c r="A110" s="48">
        <v>172.0</v>
      </c>
      <c r="B110" s="50" t="s">
        <v>586</v>
      </c>
      <c r="C110" s="50" t="s">
        <v>186</v>
      </c>
      <c r="D110" s="36" t="s">
        <v>194</v>
      </c>
      <c r="E110" s="37" t="s">
        <v>45</v>
      </c>
      <c r="F110" s="38" t="s">
        <v>91</v>
      </c>
      <c r="G110" s="39">
        <v>105.0</v>
      </c>
      <c r="H110" s="41">
        <v>95.0</v>
      </c>
      <c r="I110" s="42">
        <v>110.0</v>
      </c>
      <c r="J110" s="43" t="s">
        <v>587</v>
      </c>
      <c r="K110" s="45">
        <v>85.0</v>
      </c>
    </row>
    <row r="111">
      <c r="A111" s="48">
        <v>108.0</v>
      </c>
      <c r="B111" s="50" t="s">
        <v>588</v>
      </c>
      <c r="C111" s="50" t="s">
        <v>186</v>
      </c>
      <c r="D111" s="36" t="s">
        <v>293</v>
      </c>
      <c r="E111" s="37" t="s">
        <v>45</v>
      </c>
      <c r="F111" s="38" t="s">
        <v>91</v>
      </c>
      <c r="G111" s="39">
        <v>520.0</v>
      </c>
      <c r="H111" s="41">
        <v>450.0</v>
      </c>
      <c r="I111" s="42">
        <v>560.0</v>
      </c>
      <c r="J111" s="43" t="s">
        <v>207</v>
      </c>
      <c r="K111" s="45">
        <v>400.0</v>
      </c>
    </row>
    <row r="112">
      <c r="A112" s="48">
        <v>142.0</v>
      </c>
      <c r="B112" s="50" t="s">
        <v>590</v>
      </c>
      <c r="C112" s="50" t="s">
        <v>186</v>
      </c>
      <c r="D112" s="36" t="s">
        <v>205</v>
      </c>
      <c r="E112" s="37" t="s">
        <v>45</v>
      </c>
      <c r="F112" s="38" t="s">
        <v>91</v>
      </c>
      <c r="G112" s="39">
        <v>99.0</v>
      </c>
      <c r="H112" s="41">
        <v>89.0</v>
      </c>
      <c r="I112" s="42">
        <v>109.0</v>
      </c>
      <c r="J112" s="43" t="s">
        <v>191</v>
      </c>
      <c r="K112" s="45">
        <v>79.0</v>
      </c>
    </row>
    <row r="113">
      <c r="A113" s="48">
        <v>123.0</v>
      </c>
      <c r="B113" s="50" t="s">
        <v>592</v>
      </c>
      <c r="C113" s="50" t="s">
        <v>186</v>
      </c>
      <c r="D113" s="36" t="s">
        <v>593</v>
      </c>
      <c r="E113" s="37" t="s">
        <v>45</v>
      </c>
      <c r="F113" s="38" t="s">
        <v>91</v>
      </c>
      <c r="G113" s="39">
        <v>260.0</v>
      </c>
      <c r="H113" s="41">
        <v>225.0</v>
      </c>
      <c r="I113" s="42">
        <v>280.0</v>
      </c>
      <c r="J113" s="43" t="s">
        <v>381</v>
      </c>
      <c r="K113" s="45">
        <v>200.0</v>
      </c>
    </row>
    <row r="114">
      <c r="A114" s="48">
        <v>43.0</v>
      </c>
      <c r="B114" s="50" t="s">
        <v>594</v>
      </c>
      <c r="C114" s="50" t="s">
        <v>186</v>
      </c>
      <c r="D114" s="36" t="s">
        <v>595</v>
      </c>
      <c r="E114" s="37" t="s">
        <v>45</v>
      </c>
      <c r="F114" s="38" t="s">
        <v>91</v>
      </c>
      <c r="G114" s="39">
        <v>99.0</v>
      </c>
      <c r="H114" s="41">
        <v>89.0</v>
      </c>
      <c r="I114" s="42">
        <v>109.0</v>
      </c>
      <c r="J114" s="43" t="s">
        <v>191</v>
      </c>
      <c r="K114" s="45">
        <v>79.0</v>
      </c>
    </row>
    <row r="115">
      <c r="A115" s="48">
        <v>139.0</v>
      </c>
      <c r="B115" s="50" t="s">
        <v>596</v>
      </c>
      <c r="C115" s="50" t="s">
        <v>91</v>
      </c>
      <c r="D115" s="36" t="s">
        <v>201</v>
      </c>
      <c r="E115" s="37" t="s">
        <v>45</v>
      </c>
      <c r="F115" s="38" t="s">
        <v>91</v>
      </c>
      <c r="G115" s="39">
        <v>99.0</v>
      </c>
      <c r="H115" s="41">
        <v>89.0</v>
      </c>
      <c r="I115" s="42">
        <v>109.0</v>
      </c>
      <c r="J115" s="43" t="s">
        <v>191</v>
      </c>
      <c r="K115" s="45">
        <v>79.0</v>
      </c>
    </row>
    <row r="116">
      <c r="A116" s="48">
        <v>138.0</v>
      </c>
      <c r="B116" s="50" t="s">
        <v>597</v>
      </c>
      <c r="C116" s="50" t="s">
        <v>186</v>
      </c>
      <c r="D116" s="36" t="s">
        <v>254</v>
      </c>
      <c r="E116" s="37" t="s">
        <v>45</v>
      </c>
      <c r="F116" s="38" t="s">
        <v>91</v>
      </c>
      <c r="G116" s="39">
        <v>275.0</v>
      </c>
      <c r="H116" s="41">
        <v>225.0</v>
      </c>
      <c r="I116" s="42">
        <v>295.0</v>
      </c>
      <c r="J116" s="43" t="s">
        <v>381</v>
      </c>
      <c r="K116" s="45">
        <v>200.0</v>
      </c>
    </row>
    <row r="117">
      <c r="A117" s="48">
        <v>61.0</v>
      </c>
      <c r="B117" s="50" t="s">
        <v>599</v>
      </c>
      <c r="C117" s="50" t="s">
        <v>186</v>
      </c>
      <c r="D117" s="36" t="s">
        <v>334</v>
      </c>
      <c r="E117" s="37" t="s">
        <v>45</v>
      </c>
      <c r="F117" s="38" t="s">
        <v>91</v>
      </c>
      <c r="G117" s="39">
        <v>600.0</v>
      </c>
      <c r="H117" s="41">
        <v>499.0</v>
      </c>
      <c r="I117" s="42">
        <v>650.0</v>
      </c>
      <c r="J117" s="43" t="s">
        <v>200</v>
      </c>
      <c r="K117" s="45">
        <v>449.0</v>
      </c>
    </row>
    <row r="118">
      <c r="A118" s="48">
        <v>47.0</v>
      </c>
      <c r="B118" s="50" t="s">
        <v>600</v>
      </c>
      <c r="C118" s="50" t="s">
        <v>83</v>
      </c>
      <c r="D118" s="36" t="s">
        <v>272</v>
      </c>
      <c r="E118" s="37" t="s">
        <v>45</v>
      </c>
      <c r="F118" s="38" t="s">
        <v>91</v>
      </c>
      <c r="G118" s="39">
        <v>350.0</v>
      </c>
      <c r="H118" s="41">
        <v>300.0</v>
      </c>
      <c r="I118" s="42">
        <v>375.0</v>
      </c>
      <c r="J118" s="43" t="s">
        <v>602</v>
      </c>
      <c r="K118" s="45">
        <v>275.0</v>
      </c>
    </row>
    <row r="119">
      <c r="A119" s="48">
        <v>130.0</v>
      </c>
      <c r="B119" s="50" t="s">
        <v>603</v>
      </c>
      <c r="C119" s="50" t="s">
        <v>83</v>
      </c>
      <c r="D119" s="36" t="s">
        <v>321</v>
      </c>
      <c r="E119" s="37" t="s">
        <v>45</v>
      </c>
      <c r="F119" s="38" t="s">
        <v>91</v>
      </c>
      <c r="G119" s="39">
        <v>520.0</v>
      </c>
      <c r="H119" s="41">
        <v>450.0</v>
      </c>
      <c r="I119" s="42">
        <v>560.0</v>
      </c>
      <c r="J119" s="43" t="s">
        <v>207</v>
      </c>
      <c r="K119" s="45">
        <v>400.0</v>
      </c>
    </row>
    <row r="120">
      <c r="A120" s="48">
        <v>143.0</v>
      </c>
      <c r="B120" s="50" t="s">
        <v>604</v>
      </c>
      <c r="C120" s="50" t="s">
        <v>186</v>
      </c>
      <c r="D120" s="36" t="s">
        <v>276</v>
      </c>
      <c r="E120" s="37" t="s">
        <v>45</v>
      </c>
      <c r="F120" s="38" t="s">
        <v>91</v>
      </c>
      <c r="G120" s="39">
        <v>350.0</v>
      </c>
      <c r="H120" s="41">
        <v>300.0</v>
      </c>
      <c r="I120" s="42">
        <v>375.0</v>
      </c>
      <c r="J120" s="43" t="s">
        <v>602</v>
      </c>
      <c r="K120" s="45">
        <v>275.0</v>
      </c>
    </row>
    <row r="121">
      <c r="A121" s="48">
        <v>53.0</v>
      </c>
      <c r="B121" s="50" t="s">
        <v>605</v>
      </c>
      <c r="C121" s="50" t="s">
        <v>186</v>
      </c>
      <c r="D121" s="36" t="s">
        <v>351</v>
      </c>
      <c r="E121" s="37" t="s">
        <v>45</v>
      </c>
      <c r="F121" s="38" t="s">
        <v>91</v>
      </c>
      <c r="G121" s="39">
        <v>780.0</v>
      </c>
      <c r="H121" s="41">
        <v>675.0</v>
      </c>
      <c r="I121" s="42">
        <v>840.0</v>
      </c>
      <c r="J121" s="43" t="s">
        <v>238</v>
      </c>
      <c r="K121" s="45">
        <v>600.0</v>
      </c>
    </row>
    <row r="122">
      <c r="A122" s="48">
        <v>45.0</v>
      </c>
      <c r="B122" s="50" t="s">
        <v>606</v>
      </c>
      <c r="C122" s="50" t="s">
        <v>83</v>
      </c>
      <c r="D122" s="36" t="s">
        <v>318</v>
      </c>
      <c r="E122" s="37" t="s">
        <v>45</v>
      </c>
      <c r="F122" s="38" t="s">
        <v>91</v>
      </c>
      <c r="G122" s="39">
        <v>520.0</v>
      </c>
      <c r="H122" s="41">
        <v>450.0</v>
      </c>
      <c r="I122" s="42">
        <v>560.0</v>
      </c>
      <c r="J122" s="43" t="s">
        <v>207</v>
      </c>
      <c r="K122" s="45">
        <v>400.0</v>
      </c>
    </row>
    <row r="123">
      <c r="A123" s="48">
        <v>137.0</v>
      </c>
      <c r="B123" s="50" t="s">
        <v>607</v>
      </c>
      <c r="C123" s="50" t="s">
        <v>83</v>
      </c>
      <c r="D123" s="36" t="s">
        <v>358</v>
      </c>
      <c r="E123" s="37" t="s">
        <v>45</v>
      </c>
      <c r="F123" s="38" t="s">
        <v>91</v>
      </c>
      <c r="G123" s="39">
        <v>1050.0</v>
      </c>
      <c r="H123" s="41">
        <v>900.0</v>
      </c>
      <c r="I123" s="42">
        <v>1120.0</v>
      </c>
      <c r="J123" s="43" t="s">
        <v>547</v>
      </c>
      <c r="K123" s="45">
        <v>800.0</v>
      </c>
    </row>
    <row r="124">
      <c r="A124" s="48">
        <v>46.0</v>
      </c>
      <c r="B124" s="50" t="s">
        <v>610</v>
      </c>
      <c r="C124" s="50" t="s">
        <v>83</v>
      </c>
      <c r="D124" s="36" t="s">
        <v>265</v>
      </c>
      <c r="E124" s="37" t="s">
        <v>45</v>
      </c>
      <c r="F124" s="38" t="s">
        <v>91</v>
      </c>
      <c r="G124" s="39">
        <v>300.0</v>
      </c>
      <c r="H124" s="41">
        <v>280.0</v>
      </c>
      <c r="I124" s="42">
        <v>320.0</v>
      </c>
      <c r="J124" s="43" t="s">
        <v>611</v>
      </c>
      <c r="K124" s="45">
        <v>240.0</v>
      </c>
    </row>
    <row r="125">
      <c r="A125" s="48">
        <v>52.0</v>
      </c>
      <c r="B125" s="50" t="s">
        <v>612</v>
      </c>
      <c r="C125" s="50" t="s">
        <v>83</v>
      </c>
      <c r="D125" s="36" t="s">
        <v>281</v>
      </c>
      <c r="E125" s="37" t="s">
        <v>45</v>
      </c>
      <c r="F125" s="38" t="s">
        <v>91</v>
      </c>
      <c r="G125" s="39">
        <v>410.0</v>
      </c>
      <c r="H125" s="41">
        <v>350.0</v>
      </c>
      <c r="I125" s="42">
        <v>440.0</v>
      </c>
      <c r="J125" s="43" t="s">
        <v>397</v>
      </c>
      <c r="K125" s="45">
        <v>325.0</v>
      </c>
    </row>
    <row r="126">
      <c r="A126" s="48">
        <v>62.0</v>
      </c>
      <c r="B126" s="50" t="s">
        <v>613</v>
      </c>
      <c r="C126" s="50" t="s">
        <v>83</v>
      </c>
      <c r="D126" s="36" t="s">
        <v>364</v>
      </c>
      <c r="E126" s="37" t="s">
        <v>45</v>
      </c>
      <c r="F126" s="38" t="s">
        <v>91</v>
      </c>
      <c r="G126" s="39">
        <v>1050.0</v>
      </c>
      <c r="H126" s="41">
        <v>900.0</v>
      </c>
      <c r="I126" s="42">
        <v>1120.0</v>
      </c>
      <c r="J126" s="43" t="s">
        <v>547</v>
      </c>
      <c r="K126" s="45">
        <v>800.0</v>
      </c>
    </row>
    <row r="127">
      <c r="A127" s="48">
        <v>186.0</v>
      </c>
      <c r="B127" s="50" t="s">
        <v>614</v>
      </c>
      <c r="C127" s="50" t="s">
        <v>186</v>
      </c>
      <c r="D127" s="36" t="s">
        <v>192</v>
      </c>
      <c r="E127" s="37" t="s">
        <v>45</v>
      </c>
      <c r="F127" s="38" t="s">
        <v>91</v>
      </c>
      <c r="G127" s="39">
        <v>55.0</v>
      </c>
      <c r="H127" s="41">
        <v>45.0</v>
      </c>
      <c r="I127" s="42">
        <v>55.0</v>
      </c>
      <c r="J127" s="43" t="s">
        <v>171</v>
      </c>
      <c r="K127" s="45">
        <v>40.0</v>
      </c>
    </row>
    <row r="128">
      <c r="A128" s="48">
        <v>184.0</v>
      </c>
      <c r="B128" s="50" t="s">
        <v>614</v>
      </c>
      <c r="C128" s="50" t="s">
        <v>186</v>
      </c>
      <c r="D128" s="36" t="s">
        <v>304</v>
      </c>
      <c r="E128" s="37" t="s">
        <v>45</v>
      </c>
      <c r="F128" s="38" t="s">
        <v>91</v>
      </c>
      <c r="G128" s="39">
        <v>520.0</v>
      </c>
      <c r="H128" s="41">
        <v>450.0</v>
      </c>
      <c r="I128" s="42">
        <v>560.0</v>
      </c>
      <c r="J128" s="43" t="s">
        <v>207</v>
      </c>
      <c r="K128" s="45">
        <v>400.0</v>
      </c>
    </row>
    <row r="129">
      <c r="A129" s="48">
        <v>188.0</v>
      </c>
      <c r="B129" s="50" t="s">
        <v>614</v>
      </c>
      <c r="C129" s="50" t="s">
        <v>186</v>
      </c>
      <c r="D129" s="36" t="s">
        <v>246</v>
      </c>
      <c r="E129" s="37" t="s">
        <v>45</v>
      </c>
      <c r="F129" s="38" t="s">
        <v>91</v>
      </c>
      <c r="G129" s="39">
        <v>275.0</v>
      </c>
      <c r="H129" s="41">
        <v>225.0</v>
      </c>
      <c r="I129" s="42">
        <v>295.0</v>
      </c>
      <c r="J129" s="43" t="s">
        <v>381</v>
      </c>
      <c r="K129" s="45">
        <v>200.0</v>
      </c>
    </row>
    <row r="130">
      <c r="A130" s="48">
        <v>185.0</v>
      </c>
      <c r="B130" s="50" t="s">
        <v>614</v>
      </c>
      <c r="C130" s="50" t="s">
        <v>186</v>
      </c>
      <c r="D130" s="36" t="s">
        <v>347</v>
      </c>
      <c r="E130" s="37" t="s">
        <v>45</v>
      </c>
      <c r="F130" s="38" t="s">
        <v>91</v>
      </c>
      <c r="G130" s="39">
        <v>780.0</v>
      </c>
      <c r="H130" s="41">
        <v>675.0</v>
      </c>
      <c r="I130" s="42">
        <v>840.0</v>
      </c>
      <c r="J130" s="43" t="s">
        <v>238</v>
      </c>
      <c r="K130" s="45">
        <v>600.0</v>
      </c>
    </row>
    <row r="131">
      <c r="A131" s="48">
        <v>136.0</v>
      </c>
      <c r="B131" s="50" t="s">
        <v>616</v>
      </c>
      <c r="C131" s="50" t="s">
        <v>186</v>
      </c>
      <c r="D131" s="36" t="s">
        <v>310</v>
      </c>
      <c r="E131" s="37" t="s">
        <v>45</v>
      </c>
      <c r="F131" s="38" t="s">
        <v>91</v>
      </c>
      <c r="G131" s="39">
        <v>520.0</v>
      </c>
      <c r="H131" s="41">
        <v>450.0</v>
      </c>
      <c r="I131" s="42">
        <v>560.0</v>
      </c>
      <c r="J131" s="43" t="s">
        <v>207</v>
      </c>
      <c r="K131" s="45">
        <v>400.0</v>
      </c>
    </row>
    <row r="132">
      <c r="A132" s="48">
        <v>50.0</v>
      </c>
      <c r="B132" s="50" t="s">
        <v>617</v>
      </c>
      <c r="C132" s="50" t="s">
        <v>83</v>
      </c>
      <c r="D132" s="36" t="s">
        <v>242</v>
      </c>
      <c r="E132" s="37" t="s">
        <v>45</v>
      </c>
      <c r="F132" s="38" t="s">
        <v>91</v>
      </c>
      <c r="G132" s="39">
        <v>275.0</v>
      </c>
      <c r="H132" s="41">
        <v>225.0</v>
      </c>
      <c r="I132" s="42">
        <v>295.0</v>
      </c>
      <c r="J132" s="43" t="s">
        <v>381</v>
      </c>
      <c r="K132" s="45">
        <v>200.0</v>
      </c>
    </row>
    <row r="133">
      <c r="A133" s="48">
        <v>230.0</v>
      </c>
      <c r="B133" s="48" t="s">
        <v>618</v>
      </c>
      <c r="C133" s="117" t="s">
        <v>83</v>
      </c>
      <c r="D133" s="36" t="s">
        <v>326</v>
      </c>
      <c r="E133" s="37" t="s">
        <v>45</v>
      </c>
      <c r="F133" s="38" t="s">
        <v>91</v>
      </c>
      <c r="G133" s="39">
        <v>520.0</v>
      </c>
      <c r="H133" s="41">
        <v>450.0</v>
      </c>
      <c r="I133" s="42">
        <v>560.0</v>
      </c>
      <c r="J133" s="43" t="s">
        <v>207</v>
      </c>
      <c r="K133" s="45">
        <v>400.0</v>
      </c>
    </row>
    <row r="134">
      <c r="A134" s="48">
        <v>231.0</v>
      </c>
      <c r="B134" s="48" t="s">
        <v>619</v>
      </c>
      <c r="C134" s="117" t="s">
        <v>83</v>
      </c>
      <c r="D134" s="36" t="s">
        <v>250</v>
      </c>
      <c r="E134" s="37" t="s">
        <v>45</v>
      </c>
      <c r="F134" s="38" t="s">
        <v>91</v>
      </c>
      <c r="G134" s="39">
        <v>275.0</v>
      </c>
      <c r="H134" s="41">
        <v>225.0</v>
      </c>
      <c r="I134" s="42">
        <v>295.0</v>
      </c>
      <c r="J134" s="43" t="s">
        <v>381</v>
      </c>
      <c r="K134" s="45">
        <v>200.0</v>
      </c>
    </row>
    <row r="135">
      <c r="D135" s="119" t="s">
        <v>620</v>
      </c>
      <c r="E135" s="37" t="s">
        <v>45</v>
      </c>
      <c r="F135" s="38" t="s">
        <v>91</v>
      </c>
      <c r="G135" s="39">
        <v>260.0</v>
      </c>
      <c r="H135" s="41">
        <v>225.0</v>
      </c>
      <c r="I135" s="42">
        <v>280.0</v>
      </c>
      <c r="J135" s="43" t="s">
        <v>381</v>
      </c>
      <c r="K135" s="45">
        <v>200.0</v>
      </c>
    </row>
    <row r="136">
      <c r="D136" s="119" t="s">
        <v>400</v>
      </c>
      <c r="E136" s="37" t="s">
        <v>45</v>
      </c>
      <c r="F136" s="38" t="s">
        <v>396</v>
      </c>
      <c r="G136" s="39">
        <v>20.0</v>
      </c>
      <c r="H136" s="41">
        <v>20.0</v>
      </c>
      <c r="I136" s="42">
        <v>20.0</v>
      </c>
      <c r="J136" s="43" t="s">
        <v>119</v>
      </c>
      <c r="K136" s="45">
        <v>20.0</v>
      </c>
    </row>
    <row r="137">
      <c r="D137" s="36" t="s">
        <v>404</v>
      </c>
      <c r="E137" s="37" t="s">
        <v>45</v>
      </c>
      <c r="F137" s="38" t="s">
        <v>396</v>
      </c>
      <c r="G137" s="39">
        <v>40.0</v>
      </c>
      <c r="H137" s="41">
        <v>40.0</v>
      </c>
      <c r="I137" s="42">
        <v>40.0</v>
      </c>
      <c r="J137" s="43" t="s">
        <v>122</v>
      </c>
      <c r="K137" s="45">
        <v>40.0</v>
      </c>
    </row>
    <row r="138">
      <c r="D138" s="36" t="s">
        <v>408</v>
      </c>
      <c r="E138" s="37" t="s">
        <v>45</v>
      </c>
      <c r="F138" s="38" t="s">
        <v>396</v>
      </c>
      <c r="G138" s="39">
        <v>80.0</v>
      </c>
      <c r="H138" s="41">
        <v>80.0</v>
      </c>
      <c r="I138" s="42">
        <v>80.0</v>
      </c>
      <c r="J138" s="43" t="s">
        <v>624</v>
      </c>
      <c r="K138" s="45">
        <v>80.0</v>
      </c>
    </row>
    <row r="139">
      <c r="D139" s="36" t="s">
        <v>394</v>
      </c>
      <c r="E139" s="37" t="s">
        <v>45</v>
      </c>
      <c r="F139" s="38" t="s">
        <v>396</v>
      </c>
      <c r="G139" s="39">
        <v>1.0</v>
      </c>
      <c r="H139" s="41">
        <v>1.0</v>
      </c>
      <c r="I139" s="42">
        <v>1.0</v>
      </c>
      <c r="J139" s="43" t="s">
        <v>126</v>
      </c>
      <c r="K139" s="45">
        <v>1.0</v>
      </c>
    </row>
    <row r="140">
      <c r="D140" s="36" t="s">
        <v>399</v>
      </c>
      <c r="E140" s="37" t="s">
        <v>45</v>
      </c>
      <c r="F140" s="38" t="s">
        <v>396</v>
      </c>
      <c r="G140" s="39">
        <v>1.0</v>
      </c>
      <c r="H140" s="41">
        <v>1.0</v>
      </c>
      <c r="I140" s="42">
        <v>1.0</v>
      </c>
      <c r="J140" s="43" t="s">
        <v>126</v>
      </c>
      <c r="K140" s="45">
        <v>1.0</v>
      </c>
    </row>
    <row r="141">
      <c r="D141" s="36" t="s">
        <v>626</v>
      </c>
      <c r="E141" s="37" t="s">
        <v>45</v>
      </c>
      <c r="F141" s="38" t="s">
        <v>186</v>
      </c>
      <c r="G141" s="39">
        <v>150.0</v>
      </c>
      <c r="H141" s="41">
        <v>150.0</v>
      </c>
      <c r="I141" s="42">
        <v>150.0</v>
      </c>
      <c r="J141" s="43" t="s">
        <v>627</v>
      </c>
      <c r="K141" s="45">
        <v>150.0</v>
      </c>
    </row>
    <row r="142">
      <c r="D142" s="36" t="s">
        <v>628</v>
      </c>
      <c r="E142" s="37" t="s">
        <v>45</v>
      </c>
      <c r="F142" s="38" t="s">
        <v>186</v>
      </c>
      <c r="G142" s="39">
        <v>150.0</v>
      </c>
      <c r="H142" s="41">
        <v>150.0</v>
      </c>
      <c r="I142" s="42">
        <v>150.0</v>
      </c>
      <c r="J142" s="43" t="s">
        <v>627</v>
      </c>
      <c r="K142" s="45">
        <v>150.0</v>
      </c>
    </row>
    <row r="143">
      <c r="D143" s="36" t="s">
        <v>453</v>
      </c>
      <c r="E143" s="37" t="s">
        <v>45</v>
      </c>
      <c r="F143" s="38" t="s">
        <v>186</v>
      </c>
      <c r="G143" s="39">
        <v>99.0</v>
      </c>
      <c r="H143" s="41">
        <v>89.0</v>
      </c>
      <c r="I143" s="42">
        <v>109.0</v>
      </c>
      <c r="J143" s="43" t="s">
        <v>191</v>
      </c>
      <c r="K143" s="45">
        <v>79.0</v>
      </c>
    </row>
    <row r="144">
      <c r="D144" s="36" t="s">
        <v>630</v>
      </c>
      <c r="E144" s="37" t="s">
        <v>327</v>
      </c>
      <c r="F144" s="38" t="s">
        <v>186</v>
      </c>
      <c r="G144" s="39">
        <v>0.008</v>
      </c>
      <c r="H144" s="41">
        <v>0.006</v>
      </c>
      <c r="I144" s="42">
        <v>0.009</v>
      </c>
      <c r="J144" s="43" t="s">
        <v>516</v>
      </c>
      <c r="K144" s="45">
        <v>0.005</v>
      </c>
    </row>
    <row r="145">
      <c r="D145" s="36" t="s">
        <v>505</v>
      </c>
      <c r="E145" s="37" t="s">
        <v>45</v>
      </c>
      <c r="F145" s="38" t="s">
        <v>186</v>
      </c>
      <c r="G145" s="39">
        <v>750.0</v>
      </c>
      <c r="H145" s="41">
        <v>675.0</v>
      </c>
      <c r="I145" s="42">
        <v>825.0</v>
      </c>
      <c r="J145" s="43" t="s">
        <v>238</v>
      </c>
      <c r="K145" s="45">
        <v>600.0</v>
      </c>
      <c r="L145" s="46"/>
      <c r="M145" s="46"/>
      <c r="N145" s="46"/>
      <c r="O145" s="46"/>
      <c r="P145" s="46"/>
    </row>
    <row r="146">
      <c r="D146" s="36" t="s">
        <v>631</v>
      </c>
      <c r="E146" s="37" t="s">
        <v>45</v>
      </c>
      <c r="F146" s="38" t="s">
        <v>186</v>
      </c>
      <c r="G146" s="80" t="s">
        <v>135</v>
      </c>
      <c r="H146" s="82" t="s">
        <v>135</v>
      </c>
      <c r="I146" s="83" t="s">
        <v>135</v>
      </c>
      <c r="J146" s="43" t="s">
        <v>366</v>
      </c>
      <c r="K146" s="84" t="s">
        <v>135</v>
      </c>
      <c r="L146" s="46"/>
      <c r="M146" s="46"/>
      <c r="N146" s="46"/>
      <c r="O146" s="46"/>
      <c r="P146" s="46"/>
    </row>
    <row r="147">
      <c r="D147" s="36" t="s">
        <v>632</v>
      </c>
      <c r="E147" s="37" t="s">
        <v>45</v>
      </c>
      <c r="F147" s="38" t="s">
        <v>186</v>
      </c>
      <c r="G147" s="80" t="s">
        <v>135</v>
      </c>
      <c r="H147" s="82" t="s">
        <v>135</v>
      </c>
      <c r="I147" s="83" t="s">
        <v>135</v>
      </c>
      <c r="J147" s="43" t="s">
        <v>366</v>
      </c>
      <c r="K147" s="84" t="s">
        <v>135</v>
      </c>
      <c r="L147" s="46"/>
      <c r="M147" s="46"/>
      <c r="N147" s="46"/>
      <c r="O147" s="46"/>
      <c r="P147" s="46"/>
    </row>
    <row r="148">
      <c r="D148" s="36" t="s">
        <v>60</v>
      </c>
      <c r="E148" s="37" t="s">
        <v>45</v>
      </c>
      <c r="F148" s="38" t="s">
        <v>186</v>
      </c>
      <c r="G148" s="39">
        <v>150.0</v>
      </c>
      <c r="H148" s="41">
        <v>140.0</v>
      </c>
      <c r="I148" s="42">
        <v>160.0</v>
      </c>
      <c r="J148" s="43" t="s">
        <v>513</v>
      </c>
      <c r="K148" s="45">
        <v>120.0</v>
      </c>
      <c r="L148" s="46"/>
      <c r="M148" s="46"/>
      <c r="N148" s="46"/>
      <c r="O148" s="46"/>
      <c r="P148" s="46"/>
    </row>
    <row r="149">
      <c r="D149" s="36" t="s">
        <v>58</v>
      </c>
      <c r="E149" s="37" t="s">
        <v>45</v>
      </c>
      <c r="F149" s="38" t="s">
        <v>186</v>
      </c>
      <c r="G149" s="39">
        <v>100.0</v>
      </c>
      <c r="H149" s="41">
        <v>90.0</v>
      </c>
      <c r="I149" s="42">
        <v>105.0</v>
      </c>
      <c r="J149" s="43" t="s">
        <v>633</v>
      </c>
      <c r="K149" s="45">
        <v>80.0</v>
      </c>
      <c r="L149" s="46"/>
      <c r="M149" s="46"/>
      <c r="N149" s="46"/>
      <c r="O149" s="46"/>
      <c r="P149" s="46"/>
    </row>
    <row r="150">
      <c r="D150" s="36" t="s">
        <v>63</v>
      </c>
      <c r="E150" s="37" t="s">
        <v>45</v>
      </c>
      <c r="F150" s="38" t="s">
        <v>186</v>
      </c>
      <c r="G150" s="39">
        <v>150.0</v>
      </c>
      <c r="H150" s="41">
        <v>140.0</v>
      </c>
      <c r="I150" s="42">
        <v>160.0</v>
      </c>
      <c r="J150" s="43" t="s">
        <v>513</v>
      </c>
      <c r="K150" s="45">
        <v>120.0</v>
      </c>
      <c r="L150" s="46"/>
      <c r="M150" s="46"/>
      <c r="N150" s="46"/>
      <c r="O150" s="46"/>
      <c r="P150" s="46"/>
    </row>
    <row r="151">
      <c r="D151" s="36" t="s">
        <v>65</v>
      </c>
      <c r="E151" s="37" t="s">
        <v>45</v>
      </c>
      <c r="F151" s="38" t="s">
        <v>186</v>
      </c>
      <c r="G151" s="39">
        <v>150.0</v>
      </c>
      <c r="H151" s="41">
        <v>140.0</v>
      </c>
      <c r="I151" s="42">
        <v>160.0</v>
      </c>
      <c r="J151" s="43" t="s">
        <v>513</v>
      </c>
      <c r="K151" s="45">
        <v>120.0</v>
      </c>
      <c r="L151" s="46"/>
      <c r="M151" s="46"/>
      <c r="N151" s="46"/>
      <c r="O151" s="46"/>
      <c r="P151" s="46"/>
    </row>
    <row r="152">
      <c r="D152" s="36" t="s">
        <v>466</v>
      </c>
      <c r="E152" s="36" t="s">
        <v>45</v>
      </c>
      <c r="F152" s="36" t="s">
        <v>186</v>
      </c>
      <c r="G152" s="39">
        <v>260.0</v>
      </c>
      <c r="H152" s="41">
        <v>225.0</v>
      </c>
      <c r="I152" s="42">
        <v>280.0</v>
      </c>
      <c r="J152" s="104" t="s">
        <v>381</v>
      </c>
      <c r="K152" s="45">
        <v>200.0</v>
      </c>
      <c r="L152" s="46"/>
      <c r="M152" s="46"/>
      <c r="N152" s="46"/>
      <c r="O152" s="46"/>
      <c r="P152" s="46"/>
    </row>
    <row r="153">
      <c r="D153" s="36" t="s">
        <v>469</v>
      </c>
      <c r="E153" s="36" t="s">
        <v>45</v>
      </c>
      <c r="F153" s="36" t="s">
        <v>186</v>
      </c>
      <c r="G153" s="39">
        <v>309.0</v>
      </c>
      <c r="H153" s="41">
        <v>275.0</v>
      </c>
      <c r="I153" s="42">
        <v>349.0</v>
      </c>
      <c r="J153" s="104" t="s">
        <v>635</v>
      </c>
      <c r="K153" s="45">
        <v>249.0</v>
      </c>
    </row>
    <row r="154">
      <c r="D154" s="36" t="s">
        <v>463</v>
      </c>
      <c r="E154" s="36" t="s">
        <v>327</v>
      </c>
      <c r="F154" s="36" t="s">
        <v>186</v>
      </c>
      <c r="G154" s="39">
        <v>249.0</v>
      </c>
      <c r="H154" s="41">
        <v>225.0</v>
      </c>
      <c r="I154" s="42">
        <v>269.0</v>
      </c>
      <c r="J154" s="104" t="s">
        <v>381</v>
      </c>
      <c r="K154" s="45">
        <v>199.0</v>
      </c>
    </row>
    <row r="155">
      <c r="D155" s="36" t="s">
        <v>461</v>
      </c>
      <c r="E155" s="36" t="s">
        <v>327</v>
      </c>
      <c r="F155" s="36" t="s">
        <v>186</v>
      </c>
      <c r="G155" s="39">
        <v>149.0</v>
      </c>
      <c r="H155" s="41">
        <v>139.0</v>
      </c>
      <c r="I155" s="42">
        <v>159.0</v>
      </c>
      <c r="J155" s="104" t="s">
        <v>637</v>
      </c>
      <c r="K155" s="45">
        <v>119.0</v>
      </c>
    </row>
    <row r="156">
      <c r="D156" s="36" t="s">
        <v>456</v>
      </c>
      <c r="E156" s="36" t="s">
        <v>327</v>
      </c>
      <c r="F156" s="36" t="s">
        <v>186</v>
      </c>
      <c r="G156" s="39">
        <v>99.0</v>
      </c>
      <c r="H156" s="41">
        <v>89.0</v>
      </c>
      <c r="I156" s="42">
        <v>109.0</v>
      </c>
      <c r="J156" s="104" t="s">
        <v>191</v>
      </c>
      <c r="K156" s="45">
        <v>79.0</v>
      </c>
    </row>
    <row r="157">
      <c r="D157" s="36" t="s">
        <v>413</v>
      </c>
      <c r="E157" s="36" t="s">
        <v>45</v>
      </c>
      <c r="F157" s="36" t="s">
        <v>186</v>
      </c>
      <c r="G157" s="80" t="s">
        <v>135</v>
      </c>
      <c r="H157" s="82" t="s">
        <v>135</v>
      </c>
      <c r="I157" s="83" t="s">
        <v>135</v>
      </c>
      <c r="J157" s="104" t="s">
        <v>366</v>
      </c>
      <c r="K157" s="84" t="s">
        <v>135</v>
      </c>
    </row>
    <row r="158">
      <c r="D158" s="36" t="s">
        <v>450</v>
      </c>
      <c r="E158" s="36" t="s">
        <v>45</v>
      </c>
      <c r="F158" s="36" t="s">
        <v>186</v>
      </c>
      <c r="G158" s="39">
        <v>99.0</v>
      </c>
      <c r="H158" s="41">
        <v>89.0</v>
      </c>
      <c r="I158" s="42">
        <v>109.0</v>
      </c>
      <c r="J158" s="104" t="s">
        <v>191</v>
      </c>
      <c r="K158" s="45">
        <v>79.0</v>
      </c>
    </row>
    <row r="159">
      <c r="D159" s="36" t="s">
        <v>435</v>
      </c>
      <c r="E159" s="36" t="s">
        <v>45</v>
      </c>
      <c r="F159" s="36" t="s">
        <v>186</v>
      </c>
      <c r="G159" s="39">
        <v>1.0</v>
      </c>
      <c r="H159" s="41">
        <v>1.0</v>
      </c>
      <c r="I159" s="42">
        <v>1.0</v>
      </c>
      <c r="J159" s="104" t="s">
        <v>126</v>
      </c>
      <c r="K159" s="45">
        <v>1.0</v>
      </c>
    </row>
    <row r="160">
      <c r="D160" s="36" t="s">
        <v>52</v>
      </c>
      <c r="E160" s="36" t="s">
        <v>45</v>
      </c>
      <c r="F160" s="36" t="s">
        <v>186</v>
      </c>
      <c r="G160" s="39">
        <v>75.0</v>
      </c>
      <c r="H160" s="41">
        <v>65.0</v>
      </c>
      <c r="I160" s="42">
        <v>80.0</v>
      </c>
      <c r="J160" s="104" t="s">
        <v>638</v>
      </c>
      <c r="K160" s="45">
        <v>50.0</v>
      </c>
    </row>
    <row r="161">
      <c r="D161" s="36" t="s">
        <v>64</v>
      </c>
      <c r="E161" s="36" t="s">
        <v>45</v>
      </c>
      <c r="F161" s="36" t="s">
        <v>186</v>
      </c>
      <c r="G161" s="39">
        <v>150.0</v>
      </c>
      <c r="H161" s="41">
        <v>140.0</v>
      </c>
      <c r="I161" s="42">
        <v>160.0</v>
      </c>
      <c r="J161" s="104" t="s">
        <v>513</v>
      </c>
      <c r="K161" s="45">
        <v>120.0</v>
      </c>
    </row>
    <row r="162">
      <c r="D162" s="36" t="s">
        <v>41</v>
      </c>
      <c r="E162" s="36" t="s">
        <v>45</v>
      </c>
      <c r="F162" s="36" t="s">
        <v>186</v>
      </c>
      <c r="G162" s="39">
        <v>1.0</v>
      </c>
      <c r="H162" s="41">
        <v>1.0</v>
      </c>
      <c r="I162" s="42">
        <v>1.0</v>
      </c>
      <c r="J162" s="104" t="s">
        <v>126</v>
      </c>
      <c r="K162" s="45">
        <v>1.0</v>
      </c>
    </row>
    <row r="163">
      <c r="D163" s="36" t="s">
        <v>418</v>
      </c>
      <c r="E163" s="36" t="s">
        <v>45</v>
      </c>
      <c r="F163" s="36" t="s">
        <v>186</v>
      </c>
      <c r="G163" s="39">
        <v>0.032</v>
      </c>
      <c r="H163" s="41">
        <v>0.026</v>
      </c>
      <c r="I163" s="42">
        <v>0.034</v>
      </c>
      <c r="J163" s="104" t="s">
        <v>639</v>
      </c>
      <c r="K163" s="45">
        <v>0.024</v>
      </c>
    </row>
    <row r="164">
      <c r="D164" s="36" t="s">
        <v>423</v>
      </c>
      <c r="E164" s="36" t="s">
        <v>45</v>
      </c>
      <c r="F164" s="36" t="s">
        <v>186</v>
      </c>
      <c r="G164" s="39">
        <v>0.054</v>
      </c>
      <c r="H164" s="41">
        <v>0.046</v>
      </c>
      <c r="I164" s="42">
        <v>0.057</v>
      </c>
      <c r="J164" s="104" t="s">
        <v>640</v>
      </c>
      <c r="K164" s="45">
        <v>0.041</v>
      </c>
    </row>
    <row r="165">
      <c r="D165" s="36" t="s">
        <v>430</v>
      </c>
      <c r="E165" s="36" t="s">
        <v>45</v>
      </c>
      <c r="F165" s="36" t="s">
        <v>186</v>
      </c>
      <c r="G165" s="39">
        <v>0.1</v>
      </c>
      <c r="H165" s="41">
        <v>0.09</v>
      </c>
      <c r="I165" s="42">
        <v>0.11</v>
      </c>
      <c r="J165" s="104" t="s">
        <v>642</v>
      </c>
      <c r="K165" s="45">
        <v>0.08</v>
      </c>
    </row>
    <row r="166">
      <c r="D166" s="36" t="s">
        <v>510</v>
      </c>
      <c r="E166" s="36" t="s">
        <v>45</v>
      </c>
      <c r="F166" s="36" t="s">
        <v>511</v>
      </c>
      <c r="G166" s="80" t="s">
        <v>135</v>
      </c>
      <c r="H166" s="82" t="s">
        <v>135</v>
      </c>
      <c r="I166" s="83" t="s">
        <v>135</v>
      </c>
      <c r="J166" s="104" t="s">
        <v>366</v>
      </c>
      <c r="K166" s="84" t="s">
        <v>135</v>
      </c>
    </row>
    <row r="167">
      <c r="D167" s="36" t="s">
        <v>514</v>
      </c>
      <c r="E167" s="36" t="s">
        <v>45</v>
      </c>
      <c r="F167" s="36" t="s">
        <v>511</v>
      </c>
      <c r="G167" s="80" t="s">
        <v>135</v>
      </c>
      <c r="H167" s="82" t="s">
        <v>135</v>
      </c>
      <c r="I167" s="83" t="s">
        <v>135</v>
      </c>
      <c r="J167" s="104" t="s">
        <v>366</v>
      </c>
      <c r="K167" s="84" t="s">
        <v>135</v>
      </c>
    </row>
    <row r="168">
      <c r="D168" s="36" t="s">
        <v>517</v>
      </c>
      <c r="E168" s="36" t="s">
        <v>45</v>
      </c>
      <c r="F168" s="36" t="s">
        <v>511</v>
      </c>
      <c r="G168" s="80" t="s">
        <v>135</v>
      </c>
      <c r="H168" s="82" t="s">
        <v>135</v>
      </c>
      <c r="I168" s="83" t="s">
        <v>135</v>
      </c>
      <c r="J168" s="104" t="s">
        <v>366</v>
      </c>
      <c r="K168" s="84" t="s">
        <v>135</v>
      </c>
    </row>
    <row r="169">
      <c r="D169" s="36" t="s">
        <v>519</v>
      </c>
      <c r="E169" s="36" t="s">
        <v>45</v>
      </c>
      <c r="F169" s="36" t="s">
        <v>511</v>
      </c>
      <c r="G169" s="80" t="s">
        <v>135</v>
      </c>
      <c r="H169" s="82" t="s">
        <v>135</v>
      </c>
      <c r="I169" s="83" t="s">
        <v>135</v>
      </c>
      <c r="J169" s="104" t="s">
        <v>366</v>
      </c>
      <c r="K169" s="84" t="s">
        <v>135</v>
      </c>
    </row>
    <row r="170">
      <c r="D170" s="36" t="s">
        <v>521</v>
      </c>
      <c r="E170" s="36" t="s">
        <v>45</v>
      </c>
      <c r="F170" s="36" t="s">
        <v>511</v>
      </c>
      <c r="G170" s="80" t="s">
        <v>135</v>
      </c>
      <c r="H170" s="82" t="s">
        <v>135</v>
      </c>
      <c r="I170" s="83" t="s">
        <v>135</v>
      </c>
      <c r="J170" s="104" t="s">
        <v>366</v>
      </c>
      <c r="K170" s="84" t="s">
        <v>135</v>
      </c>
    </row>
    <row r="171">
      <c r="D171" s="36" t="s">
        <v>522</v>
      </c>
      <c r="E171" s="36" t="s">
        <v>45</v>
      </c>
      <c r="F171" s="36" t="s">
        <v>511</v>
      </c>
      <c r="G171" s="80" t="s">
        <v>135</v>
      </c>
      <c r="H171" s="82" t="s">
        <v>135</v>
      </c>
      <c r="I171" s="83" t="s">
        <v>135</v>
      </c>
      <c r="J171" s="104" t="s">
        <v>366</v>
      </c>
      <c r="K171" s="84" t="s">
        <v>135</v>
      </c>
    </row>
    <row r="172">
      <c r="D172" s="36" t="s">
        <v>524</v>
      </c>
      <c r="E172" s="36" t="s">
        <v>45</v>
      </c>
      <c r="F172" s="36" t="s">
        <v>511</v>
      </c>
      <c r="G172" s="80" t="s">
        <v>135</v>
      </c>
      <c r="H172" s="82" t="s">
        <v>135</v>
      </c>
      <c r="I172" s="83" t="s">
        <v>135</v>
      </c>
      <c r="J172" s="104" t="s">
        <v>366</v>
      </c>
      <c r="K172" s="84" t="s">
        <v>135</v>
      </c>
    </row>
    <row r="173">
      <c r="D173" s="36" t="s">
        <v>526</v>
      </c>
      <c r="E173" s="36" t="s">
        <v>45</v>
      </c>
      <c r="F173" s="36" t="s">
        <v>511</v>
      </c>
      <c r="G173" s="80" t="s">
        <v>135</v>
      </c>
      <c r="H173" s="82" t="s">
        <v>135</v>
      </c>
      <c r="I173" s="83" t="s">
        <v>135</v>
      </c>
      <c r="J173" s="104" t="s">
        <v>366</v>
      </c>
      <c r="K173" s="84" t="s">
        <v>135</v>
      </c>
    </row>
    <row r="174">
      <c r="D174" s="36" t="s">
        <v>577</v>
      </c>
      <c r="E174" s="36" t="s">
        <v>45</v>
      </c>
      <c r="F174" s="36" t="s">
        <v>529</v>
      </c>
      <c r="G174" s="39">
        <v>3499.0</v>
      </c>
      <c r="H174" s="41">
        <v>2999.0</v>
      </c>
      <c r="I174" s="42">
        <v>3749.0</v>
      </c>
      <c r="J174" s="104" t="s">
        <v>644</v>
      </c>
      <c r="K174" s="45">
        <v>2750.0</v>
      </c>
    </row>
    <row r="175">
      <c r="D175" s="36" t="s">
        <v>645</v>
      </c>
      <c r="E175" s="36" t="s">
        <v>45</v>
      </c>
      <c r="F175" s="36" t="s">
        <v>529</v>
      </c>
      <c r="G175" s="39">
        <v>1999.0</v>
      </c>
      <c r="H175" s="41">
        <v>1799.0</v>
      </c>
      <c r="I175" s="42">
        <v>2149.0</v>
      </c>
      <c r="J175" s="104" t="s">
        <v>646</v>
      </c>
      <c r="K175" s="45">
        <v>1550.0</v>
      </c>
    </row>
    <row r="176">
      <c r="D176" s="36" t="s">
        <v>569</v>
      </c>
      <c r="E176" s="36" t="s">
        <v>45</v>
      </c>
      <c r="F176" s="36" t="s">
        <v>529</v>
      </c>
      <c r="G176" s="39">
        <v>349.0</v>
      </c>
      <c r="H176" s="41">
        <v>299.0</v>
      </c>
      <c r="I176" s="42">
        <v>375.0</v>
      </c>
      <c r="J176" s="104" t="s">
        <v>602</v>
      </c>
      <c r="K176" s="45">
        <v>275.0</v>
      </c>
    </row>
    <row r="177">
      <c r="D177" s="36" t="s">
        <v>580</v>
      </c>
      <c r="E177" s="36" t="s">
        <v>45</v>
      </c>
      <c r="F177" s="36" t="s">
        <v>529</v>
      </c>
      <c r="G177" s="39">
        <v>50000.0</v>
      </c>
      <c r="H177" s="41">
        <v>42000.0</v>
      </c>
      <c r="I177" s="42">
        <v>53000.0</v>
      </c>
      <c r="J177" s="104" t="s">
        <v>589</v>
      </c>
      <c r="K177" s="45">
        <v>38000.0</v>
      </c>
    </row>
    <row r="178">
      <c r="D178" s="36" t="s">
        <v>598</v>
      </c>
      <c r="E178" s="36" t="s">
        <v>45</v>
      </c>
      <c r="F178" s="36" t="s">
        <v>529</v>
      </c>
      <c r="G178" s="39">
        <v>75000.0</v>
      </c>
      <c r="H178" s="41">
        <v>63000.0</v>
      </c>
      <c r="I178" s="42">
        <v>79500.0</v>
      </c>
      <c r="J178" s="104" t="s">
        <v>601</v>
      </c>
      <c r="K178" s="45">
        <v>57000.0</v>
      </c>
    </row>
    <row r="179">
      <c r="D179" s="36" t="s">
        <v>527</v>
      </c>
      <c r="E179" s="36" t="s">
        <v>45</v>
      </c>
      <c r="F179" s="36" t="s">
        <v>529</v>
      </c>
      <c r="G179" s="39">
        <v>0.008</v>
      </c>
      <c r="H179" s="41">
        <v>0.006</v>
      </c>
      <c r="I179" s="42">
        <v>0.009</v>
      </c>
      <c r="J179" s="104" t="s">
        <v>516</v>
      </c>
      <c r="K179" s="45">
        <v>0.005</v>
      </c>
    </row>
    <row r="180">
      <c r="D180" s="36" t="s">
        <v>573</v>
      </c>
      <c r="E180" s="36" t="s">
        <v>45</v>
      </c>
      <c r="F180" s="36" t="s">
        <v>529</v>
      </c>
      <c r="G180" s="39">
        <v>1499.0</v>
      </c>
      <c r="H180" s="41">
        <v>1299.0</v>
      </c>
      <c r="I180" s="42">
        <v>1649.0</v>
      </c>
      <c r="J180" s="104" t="s">
        <v>540</v>
      </c>
      <c r="K180" s="45">
        <v>1199.0</v>
      </c>
    </row>
    <row r="181">
      <c r="E181" s="46"/>
      <c r="J181" s="105"/>
    </row>
    <row r="182">
      <c r="D182" s="124" t="s">
        <v>608</v>
      </c>
      <c r="E182" s="46"/>
      <c r="J182" s="105"/>
    </row>
    <row r="183">
      <c r="D183" s="125" t="s">
        <v>615</v>
      </c>
      <c r="E183" s="46"/>
      <c r="G183" s="126">
        <v>12999.0</v>
      </c>
      <c r="H183" s="126">
        <v>10500.0</v>
      </c>
      <c r="I183" s="126">
        <v>13999.0</v>
      </c>
      <c r="J183" s="127">
        <v>7999.0</v>
      </c>
      <c r="K183" s="128">
        <v>9999.0</v>
      </c>
    </row>
    <row r="184">
      <c r="D184" s="125" t="s">
        <v>621</v>
      </c>
      <c r="E184" s="46"/>
      <c r="G184" s="126">
        <v>17999.0</v>
      </c>
      <c r="H184" s="126">
        <v>13999.0</v>
      </c>
      <c r="I184" s="126">
        <v>18999.0</v>
      </c>
      <c r="J184" s="127">
        <v>10999.0</v>
      </c>
      <c r="K184" s="128">
        <v>12999.0</v>
      </c>
    </row>
    <row r="185">
      <c r="D185" s="125" t="s">
        <v>622</v>
      </c>
      <c r="E185" s="46"/>
      <c r="G185" s="126">
        <v>23999.0</v>
      </c>
      <c r="H185" s="126">
        <v>18999.0</v>
      </c>
      <c r="I185" s="126">
        <v>25999.0</v>
      </c>
      <c r="J185" s="127">
        <v>14999.0</v>
      </c>
      <c r="K185" s="128">
        <v>17999.0</v>
      </c>
    </row>
    <row r="186">
      <c r="D186" s="125" t="s">
        <v>623</v>
      </c>
      <c r="E186" s="46"/>
      <c r="G186" s="126">
        <v>68500.0</v>
      </c>
      <c r="H186" s="126">
        <v>54500.0</v>
      </c>
      <c r="I186" s="126">
        <v>74500.0</v>
      </c>
      <c r="J186" s="127">
        <v>42500.0</v>
      </c>
      <c r="K186" s="128">
        <v>50999.0</v>
      </c>
    </row>
    <row r="187">
      <c r="D187" s="125" t="s">
        <v>625</v>
      </c>
      <c r="E187" s="46"/>
      <c r="G187" s="126">
        <v>99500.0</v>
      </c>
      <c r="H187" s="126">
        <v>79500.0</v>
      </c>
      <c r="I187" s="126">
        <v>107500.0</v>
      </c>
      <c r="J187" s="127">
        <v>62500.0</v>
      </c>
      <c r="K187" s="128">
        <v>73500.0</v>
      </c>
    </row>
    <row r="188">
      <c r="E188" s="46"/>
      <c r="J188" s="105"/>
    </row>
    <row r="189">
      <c r="E189" s="46"/>
      <c r="J189" s="105"/>
    </row>
    <row r="190">
      <c r="E190" s="46"/>
      <c r="J190" s="105"/>
    </row>
    <row r="191">
      <c r="E191" s="46"/>
      <c r="J191" s="105"/>
    </row>
    <row r="192">
      <c r="E192" s="46"/>
      <c r="J192" s="105"/>
    </row>
    <row r="193">
      <c r="E193" s="46"/>
      <c r="J193" s="105"/>
    </row>
    <row r="194">
      <c r="E194" s="46"/>
      <c r="J194" s="105"/>
    </row>
    <row r="195">
      <c r="E195" s="46"/>
      <c r="J195" s="105"/>
    </row>
    <row r="196">
      <c r="E196" s="46"/>
      <c r="J196" s="105"/>
    </row>
    <row r="197">
      <c r="E197" s="46"/>
      <c r="J197" s="105"/>
    </row>
    <row r="198">
      <c r="E198" s="46"/>
      <c r="J198" s="105"/>
    </row>
    <row r="199">
      <c r="E199" s="46"/>
      <c r="J199" s="105"/>
    </row>
    <row r="200">
      <c r="E200" s="46"/>
      <c r="J200" s="105"/>
    </row>
    <row r="201">
      <c r="E201" s="46"/>
      <c r="J201" s="105"/>
    </row>
    <row r="202">
      <c r="E202" s="46"/>
      <c r="J202" s="105"/>
    </row>
    <row r="203">
      <c r="E203" s="46"/>
      <c r="J203" s="105"/>
    </row>
    <row r="204">
      <c r="E204" s="46"/>
      <c r="J204" s="105"/>
    </row>
    <row r="205">
      <c r="E205" s="46"/>
      <c r="J205" s="105"/>
    </row>
    <row r="206">
      <c r="E206" s="46"/>
      <c r="J206" s="105"/>
    </row>
    <row r="207">
      <c r="E207" s="46"/>
      <c r="J207" s="105"/>
    </row>
    <row r="208">
      <c r="E208" s="46"/>
      <c r="J208" s="105"/>
    </row>
    <row r="209">
      <c r="E209" s="46"/>
      <c r="J209" s="105"/>
    </row>
    <row r="210">
      <c r="E210" s="46"/>
      <c r="J210" s="105"/>
    </row>
    <row r="211">
      <c r="E211" s="46"/>
      <c r="J211" s="105"/>
    </row>
    <row r="212">
      <c r="E212" s="46"/>
      <c r="J212" s="105"/>
    </row>
    <row r="213">
      <c r="E213" s="46"/>
      <c r="J213" s="105"/>
    </row>
    <row r="214">
      <c r="E214" s="46"/>
      <c r="J214" s="105"/>
    </row>
    <row r="215">
      <c r="E215" s="46"/>
      <c r="J215" s="105"/>
    </row>
    <row r="216">
      <c r="E216" s="46"/>
      <c r="J216" s="105"/>
    </row>
    <row r="217">
      <c r="E217" s="46"/>
      <c r="J217" s="105"/>
    </row>
    <row r="218">
      <c r="E218" s="46"/>
      <c r="J218" s="105"/>
    </row>
    <row r="219">
      <c r="E219" s="46"/>
      <c r="J219" s="105"/>
    </row>
    <row r="220">
      <c r="E220" s="46"/>
      <c r="J220" s="105"/>
    </row>
    <row r="221">
      <c r="E221" s="46"/>
      <c r="J221" s="105"/>
    </row>
    <row r="222">
      <c r="E222" s="46"/>
      <c r="J222" s="105"/>
    </row>
    <row r="223">
      <c r="E223" s="46"/>
      <c r="J223" s="105"/>
    </row>
    <row r="224">
      <c r="E224" s="46"/>
      <c r="J224" s="105"/>
    </row>
    <row r="225">
      <c r="E225" s="46"/>
      <c r="J225" s="105"/>
    </row>
    <row r="226">
      <c r="E226" s="46"/>
      <c r="J226" s="105"/>
    </row>
    <row r="227">
      <c r="E227" s="46"/>
      <c r="J227" s="105"/>
    </row>
    <row r="228">
      <c r="E228" s="46"/>
      <c r="J228" s="105"/>
    </row>
    <row r="229">
      <c r="E229" s="46"/>
      <c r="J229" s="105"/>
    </row>
    <row r="230">
      <c r="E230" s="46"/>
      <c r="J230" s="105"/>
    </row>
    <row r="231">
      <c r="E231" s="46"/>
      <c r="J231" s="105"/>
    </row>
    <row r="232">
      <c r="E232" s="46"/>
      <c r="J232" s="105"/>
    </row>
    <row r="233">
      <c r="E233" s="46"/>
      <c r="J233" s="105"/>
    </row>
    <row r="234">
      <c r="E234" s="46"/>
      <c r="J234" s="105"/>
    </row>
    <row r="235">
      <c r="E235" s="46"/>
      <c r="J235" s="105"/>
    </row>
    <row r="236">
      <c r="E236" s="46"/>
      <c r="J236" s="105"/>
    </row>
    <row r="237">
      <c r="E237" s="46"/>
      <c r="J237" s="105"/>
    </row>
    <row r="238">
      <c r="E238" s="46"/>
      <c r="J238" s="105"/>
    </row>
    <row r="239">
      <c r="E239" s="46"/>
      <c r="J239" s="105"/>
    </row>
    <row r="240">
      <c r="E240" s="46"/>
      <c r="J240" s="105"/>
    </row>
    <row r="241">
      <c r="E241" s="46"/>
      <c r="J241" s="105"/>
    </row>
    <row r="242">
      <c r="E242" s="46"/>
      <c r="J242" s="105"/>
    </row>
    <row r="243">
      <c r="E243" s="46"/>
      <c r="J243" s="105"/>
    </row>
    <row r="244">
      <c r="E244" s="46"/>
      <c r="J244" s="105"/>
    </row>
    <row r="245">
      <c r="E245" s="46"/>
      <c r="J245" s="105"/>
    </row>
    <row r="246">
      <c r="E246" s="46"/>
      <c r="J246" s="105"/>
    </row>
    <row r="247">
      <c r="E247" s="46"/>
      <c r="J247" s="105"/>
    </row>
    <row r="248">
      <c r="E248" s="46"/>
      <c r="J248" s="105"/>
    </row>
    <row r="249">
      <c r="E249" s="46"/>
      <c r="J249" s="105"/>
    </row>
    <row r="250">
      <c r="E250" s="46"/>
      <c r="J250" s="105"/>
    </row>
    <row r="251">
      <c r="E251" s="46"/>
      <c r="J251" s="105"/>
    </row>
    <row r="252">
      <c r="E252" s="46"/>
      <c r="J252" s="105"/>
    </row>
    <row r="253">
      <c r="E253" s="46"/>
      <c r="J253" s="105"/>
    </row>
    <row r="254">
      <c r="E254" s="46"/>
      <c r="J254" s="105"/>
    </row>
    <row r="255">
      <c r="E255" s="46"/>
      <c r="J255" s="105"/>
    </row>
    <row r="256">
      <c r="E256" s="46"/>
      <c r="J256" s="105"/>
    </row>
    <row r="257">
      <c r="E257" s="46"/>
      <c r="J257" s="105"/>
    </row>
    <row r="258">
      <c r="E258" s="46"/>
      <c r="J258" s="105"/>
    </row>
    <row r="259">
      <c r="E259" s="46"/>
      <c r="J259" s="105"/>
    </row>
    <row r="260">
      <c r="E260" s="46"/>
      <c r="J260" s="105"/>
    </row>
    <row r="261">
      <c r="E261" s="46"/>
      <c r="J261" s="105"/>
    </row>
    <row r="262">
      <c r="E262" s="46"/>
      <c r="J262" s="105"/>
    </row>
    <row r="263">
      <c r="E263" s="46"/>
      <c r="J263" s="105"/>
    </row>
    <row r="264">
      <c r="E264" s="46"/>
      <c r="J264" s="105"/>
    </row>
    <row r="265">
      <c r="E265" s="46"/>
      <c r="J265" s="105"/>
    </row>
    <row r="266">
      <c r="E266" s="46"/>
      <c r="J266" s="105"/>
    </row>
    <row r="267">
      <c r="E267" s="46"/>
      <c r="J267" s="105"/>
    </row>
    <row r="268">
      <c r="E268" s="46"/>
      <c r="J268" s="105"/>
    </row>
    <row r="269">
      <c r="E269" s="46"/>
      <c r="J269" s="105"/>
    </row>
    <row r="270">
      <c r="E270" s="46"/>
      <c r="J270" s="105"/>
    </row>
    <row r="271">
      <c r="E271" s="46"/>
      <c r="J271" s="105"/>
    </row>
    <row r="272">
      <c r="E272" s="46"/>
      <c r="J272" s="105"/>
    </row>
    <row r="273">
      <c r="E273" s="46"/>
      <c r="J273" s="105"/>
    </row>
    <row r="274">
      <c r="E274" s="46"/>
      <c r="J274" s="105"/>
    </row>
    <row r="275">
      <c r="E275" s="46"/>
      <c r="J275" s="105"/>
    </row>
    <row r="276">
      <c r="E276" s="46"/>
      <c r="J276" s="105"/>
    </row>
    <row r="277">
      <c r="E277" s="46"/>
      <c r="J277" s="105"/>
    </row>
    <row r="278">
      <c r="E278" s="46"/>
      <c r="J278" s="105"/>
    </row>
    <row r="279">
      <c r="E279" s="46"/>
      <c r="J279" s="105"/>
    </row>
    <row r="280">
      <c r="E280" s="46"/>
      <c r="J280" s="105"/>
    </row>
    <row r="281">
      <c r="E281" s="46"/>
      <c r="J281" s="105"/>
    </row>
    <row r="282">
      <c r="E282" s="46"/>
      <c r="J282" s="105"/>
    </row>
    <row r="283">
      <c r="E283" s="46"/>
      <c r="J283" s="105"/>
    </row>
    <row r="284">
      <c r="E284" s="46"/>
      <c r="J284" s="105"/>
    </row>
    <row r="285">
      <c r="E285" s="46"/>
      <c r="J285" s="105"/>
    </row>
    <row r="286">
      <c r="E286" s="46"/>
      <c r="J286" s="105"/>
    </row>
    <row r="287">
      <c r="E287" s="46"/>
      <c r="J287" s="105"/>
    </row>
    <row r="288">
      <c r="E288" s="46"/>
      <c r="J288" s="105"/>
    </row>
    <row r="289">
      <c r="E289" s="46"/>
      <c r="J289" s="105"/>
    </row>
    <row r="290">
      <c r="E290" s="46"/>
      <c r="J290" s="105"/>
    </row>
    <row r="291">
      <c r="E291" s="46"/>
      <c r="J291" s="105"/>
    </row>
    <row r="292">
      <c r="E292" s="46"/>
      <c r="J292" s="105"/>
    </row>
    <row r="293">
      <c r="E293" s="46"/>
      <c r="J293" s="105"/>
    </row>
    <row r="294">
      <c r="E294" s="46"/>
      <c r="J294" s="105"/>
    </row>
    <row r="295">
      <c r="E295" s="46"/>
      <c r="J295" s="105"/>
    </row>
    <row r="296">
      <c r="E296" s="46"/>
      <c r="J296" s="105"/>
    </row>
    <row r="297">
      <c r="E297" s="46"/>
      <c r="J297" s="105"/>
    </row>
    <row r="298">
      <c r="E298" s="46"/>
      <c r="J298" s="105"/>
    </row>
    <row r="299">
      <c r="E299" s="46"/>
      <c r="J299" s="105"/>
    </row>
    <row r="300">
      <c r="E300" s="46"/>
      <c r="J300" s="105"/>
    </row>
    <row r="301">
      <c r="E301" s="46"/>
      <c r="J301" s="105"/>
    </row>
    <row r="302">
      <c r="E302" s="46"/>
      <c r="J302" s="105"/>
    </row>
    <row r="303">
      <c r="E303" s="46"/>
      <c r="J303" s="105"/>
    </row>
    <row r="304">
      <c r="E304" s="46"/>
      <c r="J304" s="105"/>
    </row>
    <row r="305">
      <c r="E305" s="46"/>
      <c r="J305" s="105"/>
    </row>
    <row r="306">
      <c r="E306" s="46"/>
      <c r="J306" s="105"/>
    </row>
    <row r="307">
      <c r="E307" s="46"/>
      <c r="J307" s="105"/>
    </row>
    <row r="308">
      <c r="E308" s="46"/>
      <c r="J308" s="105"/>
    </row>
    <row r="309">
      <c r="E309" s="46"/>
      <c r="J309" s="105"/>
    </row>
    <row r="310">
      <c r="E310" s="46"/>
      <c r="J310" s="105"/>
    </row>
    <row r="311">
      <c r="E311" s="46"/>
      <c r="J311" s="105"/>
    </row>
    <row r="312">
      <c r="E312" s="46"/>
      <c r="J312" s="105"/>
    </row>
    <row r="313">
      <c r="E313" s="46"/>
      <c r="J313" s="105"/>
    </row>
    <row r="314">
      <c r="E314" s="46"/>
      <c r="J314" s="105"/>
    </row>
    <row r="315">
      <c r="E315" s="46"/>
      <c r="J315" s="105"/>
    </row>
    <row r="316">
      <c r="E316" s="46"/>
      <c r="J316" s="105"/>
    </row>
    <row r="317">
      <c r="E317" s="46"/>
      <c r="J317" s="105"/>
    </row>
    <row r="318">
      <c r="E318" s="46"/>
      <c r="J318" s="105"/>
    </row>
    <row r="319">
      <c r="E319" s="46"/>
      <c r="J319" s="105"/>
    </row>
    <row r="320">
      <c r="E320" s="46"/>
      <c r="J320" s="105"/>
    </row>
    <row r="321">
      <c r="E321" s="46"/>
      <c r="J321" s="105"/>
    </row>
    <row r="322">
      <c r="E322" s="46"/>
      <c r="J322" s="105"/>
    </row>
    <row r="323">
      <c r="E323" s="46"/>
      <c r="J323" s="105"/>
    </row>
    <row r="324">
      <c r="E324" s="46"/>
      <c r="J324" s="105"/>
    </row>
    <row r="325">
      <c r="E325" s="46"/>
      <c r="J325" s="105"/>
    </row>
    <row r="326">
      <c r="E326" s="46"/>
      <c r="J326" s="105"/>
    </row>
    <row r="327">
      <c r="E327" s="46"/>
      <c r="J327" s="105"/>
    </row>
    <row r="328">
      <c r="E328" s="46"/>
      <c r="J328" s="105"/>
    </row>
    <row r="329">
      <c r="E329" s="46"/>
      <c r="J329" s="105"/>
    </row>
    <row r="330">
      <c r="E330" s="46"/>
      <c r="J330" s="105"/>
    </row>
    <row r="331">
      <c r="E331" s="46"/>
      <c r="J331" s="105"/>
    </row>
    <row r="332">
      <c r="E332" s="46"/>
      <c r="J332" s="105"/>
    </row>
    <row r="333">
      <c r="E333" s="46"/>
      <c r="J333" s="105"/>
    </row>
    <row r="334">
      <c r="E334" s="46"/>
      <c r="J334" s="105"/>
    </row>
    <row r="335">
      <c r="E335" s="46"/>
      <c r="J335" s="105"/>
    </row>
    <row r="336">
      <c r="E336" s="46"/>
      <c r="J336" s="105"/>
    </row>
    <row r="337">
      <c r="E337" s="46"/>
      <c r="J337" s="105"/>
    </row>
    <row r="338">
      <c r="E338" s="46"/>
      <c r="J338" s="105"/>
    </row>
    <row r="339">
      <c r="E339" s="46"/>
      <c r="J339" s="105"/>
    </row>
    <row r="340">
      <c r="E340" s="46"/>
      <c r="J340" s="105"/>
    </row>
    <row r="341">
      <c r="E341" s="46"/>
      <c r="J341" s="105"/>
    </row>
    <row r="342">
      <c r="E342" s="46"/>
      <c r="J342" s="105"/>
    </row>
    <row r="343">
      <c r="E343" s="46"/>
      <c r="J343" s="105"/>
    </row>
    <row r="344">
      <c r="E344" s="46"/>
      <c r="J344" s="105"/>
    </row>
    <row r="345">
      <c r="E345" s="46"/>
      <c r="J345" s="105"/>
    </row>
    <row r="346">
      <c r="E346" s="46"/>
      <c r="J346" s="105"/>
    </row>
    <row r="347">
      <c r="E347" s="46"/>
      <c r="J347" s="105"/>
    </row>
    <row r="348">
      <c r="E348" s="46"/>
      <c r="J348" s="105"/>
    </row>
    <row r="349">
      <c r="E349" s="46"/>
      <c r="J349" s="105"/>
    </row>
    <row r="350">
      <c r="E350" s="46"/>
      <c r="J350" s="105"/>
    </row>
    <row r="351">
      <c r="E351" s="46"/>
      <c r="J351" s="105"/>
    </row>
    <row r="352">
      <c r="E352" s="46"/>
      <c r="J352" s="105"/>
    </row>
    <row r="353">
      <c r="E353" s="46"/>
      <c r="J353" s="105"/>
    </row>
    <row r="354">
      <c r="E354" s="46"/>
      <c r="J354" s="105"/>
    </row>
    <row r="355">
      <c r="E355" s="46"/>
      <c r="J355" s="105"/>
    </row>
    <row r="356">
      <c r="E356" s="46"/>
      <c r="J356" s="105"/>
    </row>
    <row r="357">
      <c r="E357" s="46"/>
      <c r="J357" s="105"/>
    </row>
    <row r="358">
      <c r="E358" s="46"/>
      <c r="J358" s="105"/>
    </row>
    <row r="359">
      <c r="E359" s="46"/>
      <c r="J359" s="105"/>
    </row>
    <row r="360">
      <c r="E360" s="46"/>
      <c r="J360" s="105"/>
    </row>
    <row r="361">
      <c r="E361" s="46"/>
      <c r="J361" s="105"/>
    </row>
    <row r="362">
      <c r="E362" s="46"/>
      <c r="J362" s="105"/>
    </row>
    <row r="363">
      <c r="E363" s="46"/>
      <c r="J363" s="105"/>
    </row>
    <row r="364">
      <c r="E364" s="46"/>
      <c r="J364" s="105"/>
    </row>
    <row r="365">
      <c r="E365" s="46"/>
      <c r="J365" s="105"/>
    </row>
    <row r="366">
      <c r="E366" s="46"/>
      <c r="J366" s="105"/>
    </row>
    <row r="367">
      <c r="E367" s="46"/>
      <c r="J367" s="105"/>
    </row>
    <row r="368">
      <c r="E368" s="46"/>
      <c r="J368" s="105"/>
    </row>
    <row r="369">
      <c r="E369" s="46"/>
      <c r="J369" s="105"/>
    </row>
    <row r="370">
      <c r="E370" s="46"/>
      <c r="J370" s="105"/>
    </row>
    <row r="371">
      <c r="E371" s="46"/>
      <c r="J371" s="105"/>
    </row>
    <row r="372">
      <c r="E372" s="46"/>
      <c r="J372" s="105"/>
    </row>
    <row r="373">
      <c r="E373" s="46"/>
      <c r="J373" s="105"/>
    </row>
    <row r="374">
      <c r="E374" s="46"/>
      <c r="J374" s="105"/>
    </row>
    <row r="375">
      <c r="E375" s="46"/>
      <c r="J375" s="105"/>
    </row>
    <row r="376">
      <c r="E376" s="46"/>
      <c r="J376" s="105"/>
    </row>
    <row r="377">
      <c r="E377" s="46"/>
      <c r="J377" s="105"/>
    </row>
    <row r="378">
      <c r="E378" s="46"/>
      <c r="J378" s="105"/>
    </row>
    <row r="379">
      <c r="E379" s="46"/>
      <c r="J379" s="105"/>
    </row>
    <row r="380">
      <c r="E380" s="46"/>
      <c r="J380" s="105"/>
    </row>
    <row r="381">
      <c r="E381" s="46"/>
      <c r="J381" s="105"/>
    </row>
    <row r="382">
      <c r="E382" s="46"/>
      <c r="J382" s="105"/>
    </row>
    <row r="383">
      <c r="E383" s="46"/>
      <c r="J383" s="105"/>
    </row>
    <row r="384">
      <c r="E384" s="46"/>
      <c r="J384" s="105"/>
    </row>
    <row r="385">
      <c r="E385" s="46"/>
      <c r="J385" s="105"/>
    </row>
    <row r="386">
      <c r="E386" s="46"/>
      <c r="J386" s="105"/>
    </row>
    <row r="387">
      <c r="E387" s="46"/>
      <c r="J387" s="105"/>
    </row>
    <row r="388">
      <c r="E388" s="46"/>
      <c r="J388" s="105"/>
    </row>
    <row r="389">
      <c r="E389" s="46"/>
      <c r="J389" s="105"/>
    </row>
    <row r="390">
      <c r="E390" s="46"/>
      <c r="J390" s="105"/>
    </row>
    <row r="391">
      <c r="E391" s="46"/>
      <c r="J391" s="105"/>
    </row>
    <row r="392">
      <c r="E392" s="46"/>
      <c r="J392" s="105"/>
    </row>
    <row r="393">
      <c r="E393" s="46"/>
      <c r="J393" s="105"/>
    </row>
    <row r="394">
      <c r="E394" s="46"/>
      <c r="J394" s="105"/>
    </row>
    <row r="395">
      <c r="E395" s="46"/>
      <c r="J395" s="105"/>
    </row>
    <row r="396">
      <c r="E396" s="46"/>
      <c r="J396" s="105"/>
    </row>
    <row r="397">
      <c r="E397" s="46"/>
      <c r="J397" s="105"/>
    </row>
    <row r="398">
      <c r="E398" s="46"/>
      <c r="J398" s="105"/>
    </row>
    <row r="399">
      <c r="E399" s="46"/>
      <c r="F399" s="131"/>
      <c r="H399" s="132"/>
      <c r="I399" s="133"/>
      <c r="J399" s="134"/>
      <c r="K399" s="135"/>
    </row>
    <row r="400">
      <c r="E400" s="46"/>
      <c r="F400" s="131"/>
      <c r="H400" s="132"/>
      <c r="I400" s="133"/>
      <c r="J400" s="134"/>
      <c r="K400" s="135"/>
    </row>
    <row r="401">
      <c r="E401" s="46"/>
      <c r="F401" s="131"/>
      <c r="H401" s="132"/>
      <c r="I401" s="133"/>
      <c r="J401" s="134"/>
      <c r="K401" s="135"/>
    </row>
    <row r="402">
      <c r="E402" s="46"/>
      <c r="F402" s="131"/>
      <c r="H402" s="132"/>
      <c r="I402" s="133"/>
      <c r="J402" s="134"/>
      <c r="K402" s="135"/>
    </row>
    <row r="403">
      <c r="E403" s="46"/>
      <c r="F403" s="131"/>
      <c r="H403" s="132"/>
      <c r="I403" s="133"/>
      <c r="J403" s="134"/>
      <c r="K403" s="135"/>
    </row>
    <row r="404">
      <c r="E404" s="46"/>
      <c r="F404" s="131"/>
      <c r="H404" s="132"/>
      <c r="I404" s="133"/>
      <c r="J404" s="134"/>
      <c r="K404" s="135"/>
    </row>
    <row r="405">
      <c r="E405" s="46"/>
      <c r="F405" s="131"/>
      <c r="H405" s="132"/>
      <c r="I405" s="133"/>
      <c r="J405" s="134"/>
      <c r="K405" s="135"/>
    </row>
    <row r="406">
      <c r="E406" s="46"/>
      <c r="F406" s="131"/>
      <c r="H406" s="132"/>
      <c r="I406" s="133"/>
      <c r="J406" s="134"/>
      <c r="K406" s="135"/>
    </row>
    <row r="407">
      <c r="E407" s="46"/>
      <c r="F407" s="131"/>
      <c r="H407" s="132"/>
      <c r="I407" s="133"/>
      <c r="J407" s="134"/>
      <c r="K407" s="135"/>
    </row>
    <row r="408">
      <c r="E408" s="46"/>
      <c r="F408" s="131"/>
      <c r="H408" s="132"/>
      <c r="I408" s="133"/>
      <c r="J408" s="134"/>
      <c r="K408" s="135"/>
    </row>
    <row r="409">
      <c r="E409" s="46"/>
      <c r="F409" s="131"/>
      <c r="H409" s="132"/>
      <c r="I409" s="133"/>
      <c r="J409" s="134"/>
      <c r="K409" s="135"/>
    </row>
    <row r="410">
      <c r="E410" s="46"/>
      <c r="F410" s="131"/>
      <c r="H410" s="132"/>
      <c r="I410" s="133"/>
      <c r="J410" s="134"/>
      <c r="K410" s="135"/>
    </row>
    <row r="411">
      <c r="E411" s="46"/>
      <c r="F411" s="131"/>
      <c r="H411" s="132"/>
      <c r="I411" s="133"/>
      <c r="J411" s="134"/>
      <c r="K411" s="135"/>
    </row>
    <row r="412">
      <c r="E412" s="46"/>
      <c r="F412" s="131"/>
      <c r="H412" s="132"/>
      <c r="I412" s="133"/>
      <c r="J412" s="134"/>
      <c r="K412" s="135"/>
    </row>
    <row r="413">
      <c r="E413" s="46"/>
      <c r="F413" s="131"/>
      <c r="H413" s="132"/>
      <c r="I413" s="133"/>
      <c r="J413" s="134"/>
      <c r="K413" s="135"/>
    </row>
    <row r="414">
      <c r="E414" s="46"/>
      <c r="F414" s="131"/>
      <c r="H414" s="132"/>
      <c r="I414" s="133"/>
      <c r="J414" s="134"/>
      <c r="K414" s="135"/>
    </row>
    <row r="415">
      <c r="E415" s="46"/>
      <c r="F415" s="131"/>
      <c r="H415" s="132"/>
      <c r="I415" s="133"/>
      <c r="J415" s="134"/>
      <c r="K415" s="135"/>
    </row>
    <row r="416">
      <c r="E416" s="46"/>
      <c r="F416" s="131"/>
      <c r="H416" s="132"/>
      <c r="I416" s="133"/>
      <c r="J416" s="134"/>
      <c r="K416" s="135"/>
    </row>
    <row r="417">
      <c r="E417" s="46"/>
      <c r="F417" s="131"/>
      <c r="H417" s="132"/>
      <c r="I417" s="133"/>
      <c r="J417" s="134"/>
      <c r="K417" s="135"/>
    </row>
    <row r="418">
      <c r="E418" s="46"/>
      <c r="F418" s="131"/>
      <c r="H418" s="132"/>
      <c r="I418" s="133"/>
      <c r="J418" s="134"/>
      <c r="K418" s="135"/>
    </row>
    <row r="419">
      <c r="E419" s="46"/>
      <c r="F419" s="131"/>
      <c r="H419" s="132"/>
      <c r="I419" s="133"/>
      <c r="J419" s="134"/>
      <c r="K419" s="135"/>
    </row>
    <row r="420">
      <c r="E420" s="46"/>
      <c r="F420" s="131"/>
      <c r="H420" s="132"/>
      <c r="I420" s="133"/>
      <c r="J420" s="134"/>
      <c r="K420" s="135"/>
    </row>
    <row r="421">
      <c r="E421" s="46"/>
      <c r="F421" s="131"/>
      <c r="H421" s="132"/>
      <c r="I421" s="133"/>
      <c r="J421" s="134"/>
      <c r="K421" s="135"/>
    </row>
    <row r="422">
      <c r="E422" s="46"/>
      <c r="F422" s="131"/>
      <c r="H422" s="132"/>
      <c r="I422" s="133"/>
      <c r="J422" s="134"/>
      <c r="K422" s="135"/>
    </row>
    <row r="423">
      <c r="E423" s="46"/>
      <c r="F423" s="131"/>
      <c r="H423" s="132"/>
      <c r="I423" s="133"/>
      <c r="J423" s="134"/>
      <c r="K423" s="135"/>
    </row>
    <row r="424">
      <c r="E424" s="46"/>
      <c r="F424" s="131"/>
      <c r="H424" s="132"/>
      <c r="I424" s="133"/>
      <c r="J424" s="134"/>
      <c r="K424" s="135"/>
    </row>
    <row r="425">
      <c r="E425" s="46"/>
      <c r="F425" s="131"/>
      <c r="H425" s="132"/>
      <c r="I425" s="133"/>
      <c r="J425" s="134"/>
      <c r="K425" s="135"/>
    </row>
    <row r="426">
      <c r="E426" s="46"/>
      <c r="F426" s="131"/>
      <c r="H426" s="132"/>
      <c r="I426" s="133"/>
      <c r="J426" s="134"/>
      <c r="K426" s="135"/>
    </row>
    <row r="427">
      <c r="E427" s="46"/>
      <c r="F427" s="131"/>
      <c r="H427" s="132"/>
      <c r="I427" s="133"/>
      <c r="J427" s="134"/>
      <c r="K427" s="135"/>
    </row>
    <row r="428">
      <c r="E428" s="46"/>
      <c r="F428" s="131"/>
      <c r="H428" s="132"/>
      <c r="I428" s="133"/>
      <c r="J428" s="134"/>
      <c r="K428" s="135"/>
    </row>
    <row r="429">
      <c r="E429" s="46"/>
      <c r="F429" s="131"/>
      <c r="H429" s="132"/>
      <c r="I429" s="133"/>
      <c r="J429" s="134"/>
      <c r="K429" s="135"/>
    </row>
    <row r="430">
      <c r="E430" s="46"/>
      <c r="F430" s="131"/>
      <c r="H430" s="132"/>
      <c r="I430" s="133"/>
      <c r="J430" s="134"/>
      <c r="K430" s="135"/>
    </row>
    <row r="431">
      <c r="E431" s="46"/>
      <c r="F431" s="131"/>
      <c r="H431" s="132"/>
      <c r="I431" s="133"/>
      <c r="J431" s="134"/>
      <c r="K431" s="135"/>
    </row>
    <row r="432">
      <c r="E432" s="46"/>
      <c r="F432" s="131"/>
      <c r="H432" s="132"/>
      <c r="I432" s="133"/>
      <c r="J432" s="134"/>
      <c r="K432" s="135"/>
    </row>
    <row r="433">
      <c r="E433" s="46"/>
      <c r="F433" s="131"/>
      <c r="H433" s="132"/>
      <c r="I433" s="133"/>
      <c r="J433" s="134"/>
      <c r="K433" s="135"/>
    </row>
    <row r="434">
      <c r="E434" s="46"/>
      <c r="F434" s="131"/>
      <c r="H434" s="132"/>
      <c r="I434" s="133"/>
      <c r="J434" s="134"/>
      <c r="K434" s="135"/>
    </row>
    <row r="435">
      <c r="E435" s="46"/>
      <c r="F435" s="131"/>
      <c r="H435" s="132"/>
      <c r="I435" s="133"/>
      <c r="J435" s="134"/>
      <c r="K435" s="135"/>
    </row>
    <row r="436">
      <c r="E436" s="46"/>
      <c r="F436" s="131"/>
      <c r="H436" s="132"/>
      <c r="I436" s="133"/>
      <c r="J436" s="134"/>
      <c r="K436" s="135"/>
    </row>
    <row r="437">
      <c r="E437" s="46"/>
      <c r="F437" s="131"/>
      <c r="H437" s="132"/>
      <c r="I437" s="133"/>
      <c r="J437" s="134"/>
      <c r="K437" s="135"/>
    </row>
    <row r="438">
      <c r="E438" s="46"/>
      <c r="F438" s="131"/>
      <c r="H438" s="132"/>
      <c r="I438" s="133"/>
      <c r="J438" s="134"/>
      <c r="K438" s="135"/>
    </row>
    <row r="439">
      <c r="E439" s="46"/>
      <c r="F439" s="131"/>
      <c r="H439" s="132"/>
      <c r="I439" s="133"/>
      <c r="J439" s="134"/>
      <c r="K439" s="135"/>
    </row>
    <row r="440">
      <c r="E440" s="46"/>
      <c r="F440" s="131"/>
      <c r="H440" s="132"/>
      <c r="I440" s="133"/>
      <c r="J440" s="134"/>
      <c r="K440" s="135"/>
    </row>
    <row r="441">
      <c r="E441" s="46"/>
      <c r="F441" s="131"/>
      <c r="H441" s="132"/>
      <c r="I441" s="133"/>
      <c r="J441" s="134"/>
      <c r="K441" s="135"/>
    </row>
    <row r="442">
      <c r="E442" s="46"/>
      <c r="F442" s="131"/>
      <c r="H442" s="132"/>
      <c r="I442" s="133"/>
      <c r="J442" s="134"/>
      <c r="K442" s="135"/>
    </row>
    <row r="443">
      <c r="E443" s="46"/>
      <c r="F443" s="131"/>
      <c r="H443" s="132"/>
      <c r="I443" s="133"/>
      <c r="J443" s="134"/>
      <c r="K443" s="135"/>
    </row>
    <row r="444">
      <c r="E444" s="46"/>
      <c r="F444" s="131"/>
      <c r="H444" s="132"/>
      <c r="I444" s="133"/>
      <c r="J444" s="134"/>
      <c r="K444" s="135"/>
    </row>
    <row r="445">
      <c r="E445" s="46"/>
      <c r="F445" s="131"/>
      <c r="H445" s="132"/>
      <c r="I445" s="133"/>
      <c r="J445" s="134"/>
      <c r="K445" s="135"/>
    </row>
    <row r="446">
      <c r="E446" s="46"/>
      <c r="F446" s="131"/>
      <c r="H446" s="132"/>
      <c r="I446" s="133"/>
      <c r="J446" s="134"/>
      <c r="K446" s="135"/>
    </row>
    <row r="447">
      <c r="E447" s="46"/>
      <c r="F447" s="131"/>
      <c r="H447" s="132"/>
      <c r="I447" s="133"/>
      <c r="J447" s="134"/>
      <c r="K447" s="135"/>
    </row>
    <row r="448">
      <c r="E448" s="46"/>
      <c r="F448" s="131"/>
      <c r="H448" s="132"/>
      <c r="I448" s="133"/>
      <c r="J448" s="134"/>
      <c r="K448" s="135"/>
    </row>
    <row r="449">
      <c r="E449" s="46"/>
      <c r="F449" s="131"/>
      <c r="H449" s="132"/>
      <c r="I449" s="133"/>
      <c r="J449" s="134"/>
      <c r="K449" s="135"/>
    </row>
    <row r="450">
      <c r="E450" s="46"/>
      <c r="F450" s="131"/>
      <c r="H450" s="132"/>
      <c r="I450" s="133"/>
      <c r="J450" s="134"/>
      <c r="K450" s="135"/>
    </row>
    <row r="451">
      <c r="E451" s="46"/>
      <c r="F451" s="131"/>
      <c r="H451" s="132"/>
      <c r="I451" s="133"/>
      <c r="J451" s="134"/>
      <c r="K451" s="135"/>
    </row>
    <row r="452">
      <c r="E452" s="46"/>
      <c r="F452" s="131"/>
      <c r="H452" s="132"/>
      <c r="I452" s="133"/>
      <c r="J452" s="134"/>
      <c r="K452" s="135"/>
    </row>
    <row r="453">
      <c r="E453" s="46"/>
      <c r="F453" s="131"/>
      <c r="H453" s="132"/>
      <c r="I453" s="133"/>
      <c r="J453" s="134"/>
      <c r="K453" s="135"/>
    </row>
    <row r="454">
      <c r="E454" s="46"/>
      <c r="F454" s="131"/>
      <c r="H454" s="132"/>
      <c r="I454" s="133"/>
      <c r="J454" s="134"/>
      <c r="K454" s="135"/>
    </row>
    <row r="455">
      <c r="E455" s="46"/>
      <c r="F455" s="131"/>
      <c r="H455" s="132"/>
      <c r="I455" s="133"/>
      <c r="J455" s="134"/>
      <c r="K455" s="135"/>
    </row>
    <row r="456">
      <c r="E456" s="46"/>
      <c r="F456" s="131"/>
      <c r="H456" s="132"/>
      <c r="I456" s="133"/>
      <c r="J456" s="134"/>
      <c r="K456" s="135"/>
    </row>
    <row r="457">
      <c r="E457" s="46"/>
      <c r="F457" s="131"/>
      <c r="H457" s="132"/>
      <c r="I457" s="133"/>
      <c r="J457" s="134"/>
      <c r="K457" s="135"/>
    </row>
    <row r="458">
      <c r="E458" s="46"/>
      <c r="F458" s="131"/>
      <c r="H458" s="132"/>
      <c r="I458" s="133"/>
      <c r="J458" s="134"/>
      <c r="K458" s="135"/>
    </row>
    <row r="459">
      <c r="E459" s="46"/>
      <c r="F459" s="131"/>
      <c r="H459" s="132"/>
      <c r="I459" s="133"/>
      <c r="J459" s="134"/>
      <c r="K459" s="135"/>
    </row>
    <row r="460">
      <c r="E460" s="46"/>
      <c r="F460" s="131"/>
      <c r="H460" s="132"/>
      <c r="I460" s="133"/>
      <c r="J460" s="134"/>
      <c r="K460" s="135"/>
    </row>
    <row r="461">
      <c r="E461" s="46"/>
      <c r="F461" s="131"/>
      <c r="H461" s="132"/>
      <c r="I461" s="133"/>
      <c r="J461" s="134"/>
      <c r="K461" s="135"/>
    </row>
    <row r="462">
      <c r="E462" s="46"/>
      <c r="F462" s="131"/>
      <c r="H462" s="132"/>
      <c r="I462" s="133"/>
      <c r="J462" s="134"/>
      <c r="K462" s="135"/>
    </row>
    <row r="463">
      <c r="E463" s="46"/>
      <c r="F463" s="131"/>
      <c r="H463" s="132"/>
      <c r="I463" s="133"/>
      <c r="J463" s="134"/>
      <c r="K463" s="135"/>
    </row>
    <row r="464">
      <c r="E464" s="46"/>
      <c r="F464" s="131"/>
      <c r="H464" s="132"/>
      <c r="I464" s="133"/>
      <c r="J464" s="134"/>
      <c r="K464" s="135"/>
    </row>
    <row r="465">
      <c r="E465" s="46"/>
      <c r="F465" s="131"/>
      <c r="H465" s="132"/>
      <c r="I465" s="133"/>
      <c r="J465" s="134"/>
      <c r="K465" s="135"/>
    </row>
    <row r="466">
      <c r="E466" s="46"/>
      <c r="F466" s="131"/>
      <c r="H466" s="132"/>
      <c r="I466" s="133"/>
      <c r="J466" s="134"/>
      <c r="K466" s="135"/>
    </row>
    <row r="467">
      <c r="E467" s="46"/>
      <c r="F467" s="131"/>
      <c r="H467" s="132"/>
      <c r="I467" s="133"/>
      <c r="J467" s="134"/>
      <c r="K467" s="135"/>
    </row>
    <row r="468">
      <c r="E468" s="46"/>
      <c r="F468" s="131"/>
      <c r="H468" s="132"/>
      <c r="I468" s="133"/>
      <c r="J468" s="134"/>
      <c r="K468" s="135"/>
    </row>
    <row r="469">
      <c r="E469" s="46"/>
      <c r="F469" s="131"/>
      <c r="H469" s="132"/>
      <c r="I469" s="133"/>
      <c r="J469" s="134"/>
      <c r="K469" s="135"/>
    </row>
    <row r="470">
      <c r="E470" s="46"/>
      <c r="F470" s="131"/>
      <c r="H470" s="132"/>
      <c r="I470" s="133"/>
      <c r="J470" s="134"/>
      <c r="K470" s="135"/>
    </row>
    <row r="471">
      <c r="E471" s="46"/>
      <c r="F471" s="131"/>
      <c r="H471" s="132"/>
      <c r="I471" s="133"/>
      <c r="J471" s="134"/>
      <c r="K471" s="135"/>
    </row>
    <row r="472">
      <c r="E472" s="46"/>
      <c r="F472" s="131"/>
      <c r="H472" s="132"/>
      <c r="I472" s="133"/>
      <c r="J472" s="134"/>
      <c r="K472" s="135"/>
    </row>
    <row r="473">
      <c r="E473" s="46"/>
      <c r="F473" s="131"/>
      <c r="H473" s="132"/>
      <c r="I473" s="133"/>
      <c r="J473" s="134"/>
      <c r="K473" s="135"/>
    </row>
    <row r="474">
      <c r="E474" s="46"/>
      <c r="F474" s="131"/>
      <c r="H474" s="132"/>
      <c r="I474" s="133"/>
      <c r="J474" s="134"/>
      <c r="K474" s="135"/>
    </row>
    <row r="475">
      <c r="E475" s="46"/>
      <c r="F475" s="131"/>
      <c r="H475" s="132"/>
      <c r="I475" s="133"/>
      <c r="J475" s="134"/>
      <c r="K475" s="135"/>
    </row>
    <row r="476">
      <c r="E476" s="46"/>
      <c r="F476" s="131"/>
      <c r="H476" s="132"/>
      <c r="I476" s="133"/>
      <c r="J476" s="134"/>
      <c r="K476" s="135"/>
    </row>
    <row r="477">
      <c r="E477" s="46"/>
      <c r="F477" s="131"/>
      <c r="H477" s="132"/>
      <c r="I477" s="133"/>
      <c r="J477" s="134"/>
      <c r="K477" s="135"/>
    </row>
    <row r="478">
      <c r="E478" s="46"/>
      <c r="F478" s="131"/>
      <c r="H478" s="132"/>
      <c r="I478" s="133"/>
      <c r="J478" s="134"/>
      <c r="K478" s="135"/>
    </row>
    <row r="479">
      <c r="E479" s="46"/>
      <c r="F479" s="131"/>
      <c r="H479" s="132"/>
      <c r="I479" s="133"/>
      <c r="J479" s="134"/>
      <c r="K479" s="135"/>
    </row>
    <row r="480">
      <c r="E480" s="46"/>
      <c r="F480" s="131"/>
      <c r="H480" s="132"/>
      <c r="I480" s="133"/>
      <c r="J480" s="134"/>
      <c r="K480" s="135"/>
    </row>
    <row r="481">
      <c r="E481" s="46"/>
      <c r="F481" s="131"/>
      <c r="H481" s="132"/>
      <c r="I481" s="133"/>
      <c r="J481" s="134"/>
      <c r="K481" s="135"/>
    </row>
    <row r="482">
      <c r="E482" s="46"/>
      <c r="F482" s="131"/>
      <c r="H482" s="132"/>
      <c r="I482" s="133"/>
      <c r="J482" s="134"/>
      <c r="K482" s="135"/>
    </row>
    <row r="483">
      <c r="E483" s="46"/>
      <c r="F483" s="131"/>
      <c r="H483" s="132"/>
      <c r="I483" s="133"/>
      <c r="J483" s="134"/>
      <c r="K483" s="135"/>
    </row>
    <row r="484">
      <c r="E484" s="46"/>
      <c r="F484" s="131"/>
      <c r="H484" s="132"/>
      <c r="I484" s="133"/>
      <c r="J484" s="134"/>
      <c r="K484" s="135"/>
    </row>
    <row r="485">
      <c r="E485" s="46"/>
      <c r="F485" s="131"/>
      <c r="H485" s="132"/>
      <c r="I485" s="133"/>
      <c r="J485" s="134"/>
      <c r="K485" s="135"/>
    </row>
    <row r="486">
      <c r="E486" s="46"/>
      <c r="F486" s="131"/>
      <c r="H486" s="132"/>
      <c r="I486" s="133"/>
      <c r="J486" s="134"/>
      <c r="K486" s="135"/>
    </row>
    <row r="487">
      <c r="E487" s="46"/>
      <c r="F487" s="131"/>
      <c r="H487" s="132"/>
      <c r="I487" s="133"/>
      <c r="J487" s="134"/>
      <c r="K487" s="135"/>
    </row>
    <row r="488">
      <c r="E488" s="46"/>
      <c r="F488" s="131"/>
      <c r="H488" s="132"/>
      <c r="I488" s="133"/>
      <c r="J488" s="134"/>
      <c r="K488" s="135"/>
    </row>
    <row r="489">
      <c r="E489" s="46"/>
      <c r="F489" s="131"/>
      <c r="H489" s="132"/>
      <c r="I489" s="133"/>
      <c r="J489" s="134"/>
      <c r="K489" s="135"/>
    </row>
    <row r="490">
      <c r="E490" s="46"/>
      <c r="F490" s="131"/>
      <c r="H490" s="132"/>
      <c r="I490" s="133"/>
      <c r="J490" s="134"/>
      <c r="K490" s="135"/>
    </row>
    <row r="491">
      <c r="E491" s="46"/>
      <c r="F491" s="131"/>
      <c r="H491" s="132"/>
      <c r="I491" s="133"/>
      <c r="J491" s="134"/>
      <c r="K491" s="135"/>
    </row>
    <row r="492">
      <c r="E492" s="46"/>
      <c r="F492" s="131"/>
      <c r="H492" s="132"/>
      <c r="I492" s="133"/>
      <c r="J492" s="134"/>
      <c r="K492" s="135"/>
    </row>
    <row r="493">
      <c r="E493" s="46"/>
      <c r="F493" s="131"/>
      <c r="H493" s="132"/>
      <c r="I493" s="133"/>
      <c r="J493" s="134"/>
      <c r="K493" s="135"/>
    </row>
    <row r="494">
      <c r="E494" s="46"/>
      <c r="F494" s="131"/>
      <c r="H494" s="132"/>
      <c r="I494" s="133"/>
      <c r="J494" s="134"/>
      <c r="K494" s="135"/>
    </row>
    <row r="495">
      <c r="E495" s="46"/>
      <c r="F495" s="131"/>
      <c r="H495" s="132"/>
      <c r="I495" s="133"/>
      <c r="J495" s="134"/>
      <c r="K495" s="135"/>
    </row>
    <row r="496">
      <c r="E496" s="46"/>
      <c r="F496" s="131"/>
      <c r="H496" s="132"/>
      <c r="I496" s="133"/>
      <c r="J496" s="134"/>
      <c r="K496" s="135"/>
    </row>
    <row r="497">
      <c r="E497" s="46"/>
      <c r="F497" s="131"/>
      <c r="H497" s="132"/>
      <c r="I497" s="133"/>
      <c r="J497" s="134"/>
      <c r="K497" s="135"/>
    </row>
    <row r="498">
      <c r="E498" s="46"/>
      <c r="F498" s="131"/>
      <c r="H498" s="132"/>
      <c r="I498" s="133"/>
      <c r="J498" s="134"/>
      <c r="K498" s="135"/>
    </row>
    <row r="499">
      <c r="E499" s="46"/>
      <c r="F499" s="131"/>
      <c r="H499" s="132"/>
      <c r="I499" s="133"/>
      <c r="J499" s="134"/>
      <c r="K499" s="135"/>
    </row>
    <row r="500">
      <c r="E500" s="46"/>
      <c r="F500" s="131"/>
      <c r="H500" s="132"/>
      <c r="I500" s="133"/>
      <c r="J500" s="134"/>
      <c r="K500" s="135"/>
    </row>
    <row r="501">
      <c r="E501" s="46"/>
      <c r="F501" s="131"/>
      <c r="H501" s="132"/>
      <c r="I501" s="133"/>
      <c r="J501" s="134"/>
      <c r="K501" s="135"/>
    </row>
    <row r="502">
      <c r="E502" s="46"/>
      <c r="F502" s="131"/>
      <c r="H502" s="132"/>
      <c r="I502" s="133"/>
      <c r="J502" s="134"/>
      <c r="K502" s="135"/>
    </row>
    <row r="503">
      <c r="E503" s="46"/>
      <c r="F503" s="131"/>
      <c r="H503" s="132"/>
      <c r="I503" s="133"/>
      <c r="J503" s="134"/>
      <c r="K503" s="135"/>
    </row>
    <row r="504">
      <c r="E504" s="46"/>
      <c r="F504" s="131"/>
      <c r="H504" s="132"/>
      <c r="I504" s="133"/>
      <c r="J504" s="134"/>
      <c r="K504" s="135"/>
    </row>
    <row r="505">
      <c r="E505" s="46"/>
      <c r="F505" s="131"/>
      <c r="H505" s="132"/>
      <c r="I505" s="133"/>
      <c r="J505" s="134"/>
      <c r="K505" s="135"/>
    </row>
    <row r="506">
      <c r="E506" s="46"/>
      <c r="F506" s="131"/>
      <c r="H506" s="132"/>
      <c r="I506" s="133"/>
      <c r="J506" s="134"/>
      <c r="K506" s="135"/>
    </row>
    <row r="507">
      <c r="E507" s="46"/>
      <c r="F507" s="131"/>
      <c r="H507" s="132"/>
      <c r="I507" s="133"/>
      <c r="J507" s="134"/>
      <c r="K507" s="135"/>
    </row>
    <row r="508">
      <c r="E508" s="46"/>
      <c r="F508" s="131"/>
      <c r="H508" s="132"/>
      <c r="I508" s="133"/>
      <c r="J508" s="134"/>
      <c r="K508" s="135"/>
    </row>
    <row r="509">
      <c r="E509" s="46"/>
      <c r="F509" s="131"/>
      <c r="H509" s="132"/>
      <c r="I509" s="133"/>
      <c r="J509" s="134"/>
      <c r="K509" s="135"/>
    </row>
    <row r="510">
      <c r="E510" s="46"/>
      <c r="F510" s="131"/>
      <c r="H510" s="132"/>
      <c r="I510" s="133"/>
      <c r="J510" s="134"/>
      <c r="K510" s="135"/>
    </row>
    <row r="511">
      <c r="E511" s="46"/>
      <c r="F511" s="131"/>
      <c r="H511" s="132"/>
      <c r="I511" s="133"/>
      <c r="J511" s="134"/>
      <c r="K511" s="135"/>
    </row>
    <row r="512">
      <c r="E512" s="46"/>
      <c r="F512" s="131"/>
      <c r="H512" s="132"/>
      <c r="I512" s="133"/>
      <c r="J512" s="134"/>
      <c r="K512" s="135"/>
    </row>
    <row r="513">
      <c r="E513" s="46"/>
      <c r="F513" s="131"/>
      <c r="H513" s="132"/>
      <c r="I513" s="133"/>
      <c r="J513" s="134"/>
      <c r="K513" s="135"/>
    </row>
    <row r="514">
      <c r="E514" s="46"/>
      <c r="F514" s="131"/>
      <c r="H514" s="132"/>
      <c r="I514" s="133"/>
      <c r="J514" s="134"/>
      <c r="K514" s="135"/>
    </row>
    <row r="515">
      <c r="E515" s="46"/>
      <c r="F515" s="131"/>
      <c r="H515" s="132"/>
      <c r="I515" s="133"/>
      <c r="J515" s="134"/>
      <c r="K515" s="135"/>
    </row>
    <row r="516">
      <c r="E516" s="46"/>
      <c r="F516" s="131"/>
      <c r="H516" s="132"/>
      <c r="I516" s="133"/>
      <c r="J516" s="134"/>
      <c r="K516" s="135"/>
    </row>
    <row r="517">
      <c r="E517" s="46"/>
      <c r="F517" s="131"/>
      <c r="H517" s="132"/>
      <c r="I517" s="133"/>
      <c r="J517" s="134"/>
      <c r="K517" s="135"/>
    </row>
    <row r="518">
      <c r="E518" s="46"/>
      <c r="F518" s="131"/>
      <c r="H518" s="132"/>
      <c r="I518" s="133"/>
      <c r="J518" s="134"/>
      <c r="K518" s="135"/>
    </row>
    <row r="519">
      <c r="E519" s="46"/>
      <c r="F519" s="131"/>
      <c r="H519" s="132"/>
      <c r="I519" s="133"/>
      <c r="J519" s="134"/>
      <c r="K519" s="135"/>
    </row>
    <row r="520">
      <c r="E520" s="46"/>
      <c r="F520" s="131"/>
      <c r="H520" s="132"/>
      <c r="I520" s="133"/>
      <c r="J520" s="134"/>
      <c r="K520" s="135"/>
    </row>
    <row r="521">
      <c r="E521" s="46"/>
      <c r="F521" s="131"/>
      <c r="H521" s="132"/>
      <c r="I521" s="133"/>
      <c r="J521" s="134"/>
      <c r="K521" s="135"/>
    </row>
    <row r="522">
      <c r="E522" s="46"/>
      <c r="F522" s="131"/>
      <c r="H522" s="132"/>
      <c r="I522" s="133"/>
      <c r="J522" s="134"/>
      <c r="K522" s="135"/>
    </row>
    <row r="523">
      <c r="E523" s="46"/>
      <c r="F523" s="131"/>
      <c r="H523" s="132"/>
      <c r="I523" s="133"/>
      <c r="J523" s="134"/>
      <c r="K523" s="135"/>
    </row>
    <row r="524">
      <c r="E524" s="46"/>
      <c r="F524" s="131"/>
      <c r="H524" s="132"/>
      <c r="I524" s="133"/>
      <c r="J524" s="134"/>
      <c r="K524" s="135"/>
    </row>
    <row r="525">
      <c r="E525" s="46"/>
      <c r="F525" s="131"/>
      <c r="H525" s="132"/>
      <c r="I525" s="133"/>
      <c r="J525" s="134"/>
      <c r="K525" s="135"/>
    </row>
    <row r="526">
      <c r="E526" s="46"/>
      <c r="F526" s="131"/>
      <c r="H526" s="132"/>
      <c r="I526" s="133"/>
      <c r="J526" s="134"/>
      <c r="K526" s="135"/>
    </row>
    <row r="527">
      <c r="E527" s="46"/>
      <c r="F527" s="131"/>
      <c r="H527" s="132"/>
      <c r="I527" s="133"/>
      <c r="J527" s="134"/>
      <c r="K527" s="135"/>
    </row>
    <row r="528">
      <c r="E528" s="46"/>
      <c r="F528" s="131"/>
      <c r="H528" s="132"/>
      <c r="I528" s="133"/>
      <c r="J528" s="134"/>
      <c r="K528" s="135"/>
    </row>
    <row r="529">
      <c r="E529" s="46"/>
      <c r="F529" s="131"/>
      <c r="H529" s="132"/>
      <c r="I529" s="133"/>
      <c r="J529" s="134"/>
      <c r="K529" s="135"/>
    </row>
    <row r="530">
      <c r="E530" s="46"/>
      <c r="F530" s="131"/>
      <c r="H530" s="132"/>
      <c r="I530" s="133"/>
      <c r="J530" s="134"/>
      <c r="K530" s="135"/>
    </row>
    <row r="531">
      <c r="E531" s="46"/>
      <c r="F531" s="131"/>
      <c r="H531" s="132"/>
      <c r="I531" s="133"/>
      <c r="J531" s="134"/>
      <c r="K531" s="135"/>
    </row>
    <row r="532">
      <c r="E532" s="46"/>
      <c r="F532" s="131"/>
      <c r="H532" s="132"/>
      <c r="I532" s="133"/>
      <c r="J532" s="134"/>
      <c r="K532" s="135"/>
    </row>
    <row r="533">
      <c r="E533" s="46"/>
      <c r="F533" s="131"/>
      <c r="H533" s="132"/>
      <c r="I533" s="133"/>
      <c r="J533" s="134"/>
      <c r="K533" s="135"/>
    </row>
    <row r="534">
      <c r="E534" s="46"/>
      <c r="F534" s="131"/>
      <c r="H534" s="132"/>
      <c r="I534" s="133"/>
      <c r="J534" s="134"/>
      <c r="K534" s="135"/>
    </row>
    <row r="535">
      <c r="E535" s="46"/>
      <c r="F535" s="131"/>
      <c r="H535" s="132"/>
      <c r="I535" s="133"/>
      <c r="J535" s="134"/>
      <c r="K535" s="135"/>
    </row>
    <row r="536">
      <c r="E536" s="46"/>
      <c r="F536" s="131"/>
      <c r="H536" s="132"/>
      <c r="I536" s="133"/>
      <c r="J536" s="134"/>
      <c r="K536" s="135"/>
    </row>
    <row r="537">
      <c r="E537" s="46"/>
      <c r="F537" s="131"/>
      <c r="H537" s="132"/>
      <c r="I537" s="133"/>
      <c r="J537" s="134"/>
      <c r="K537" s="135"/>
    </row>
    <row r="538">
      <c r="E538" s="46"/>
      <c r="F538" s="131"/>
      <c r="H538" s="132"/>
      <c r="I538" s="133"/>
      <c r="J538" s="134"/>
      <c r="K538" s="135"/>
    </row>
    <row r="539">
      <c r="E539" s="46"/>
      <c r="F539" s="131"/>
      <c r="H539" s="132"/>
      <c r="I539" s="133"/>
      <c r="J539" s="134"/>
      <c r="K539" s="135"/>
    </row>
    <row r="540">
      <c r="E540" s="46"/>
      <c r="F540" s="131"/>
      <c r="H540" s="132"/>
      <c r="I540" s="133"/>
      <c r="J540" s="134"/>
      <c r="K540" s="135"/>
    </row>
    <row r="541">
      <c r="E541" s="46"/>
      <c r="F541" s="131"/>
      <c r="H541" s="132"/>
      <c r="I541" s="133"/>
      <c r="J541" s="134"/>
      <c r="K541" s="135"/>
    </row>
    <row r="542">
      <c r="E542" s="46"/>
      <c r="F542" s="131"/>
      <c r="H542" s="132"/>
      <c r="I542" s="133"/>
      <c r="J542" s="134"/>
      <c r="K542" s="135"/>
    </row>
    <row r="543">
      <c r="E543" s="46"/>
      <c r="F543" s="131"/>
      <c r="H543" s="132"/>
      <c r="I543" s="133"/>
      <c r="J543" s="134"/>
      <c r="K543" s="135"/>
    </row>
    <row r="544">
      <c r="E544" s="46"/>
      <c r="F544" s="131"/>
      <c r="H544" s="132"/>
      <c r="I544" s="133"/>
      <c r="J544" s="134"/>
      <c r="K544" s="135"/>
    </row>
    <row r="545">
      <c r="E545" s="46"/>
      <c r="F545" s="131"/>
      <c r="H545" s="132"/>
      <c r="I545" s="133"/>
      <c r="J545" s="134"/>
      <c r="K545" s="135"/>
    </row>
    <row r="546">
      <c r="E546" s="46"/>
      <c r="F546" s="131"/>
      <c r="H546" s="132"/>
      <c r="I546" s="133"/>
      <c r="J546" s="134"/>
      <c r="K546" s="135"/>
    </row>
    <row r="547">
      <c r="E547" s="46"/>
      <c r="F547" s="131"/>
      <c r="H547" s="132"/>
      <c r="I547" s="133"/>
      <c r="J547" s="134"/>
      <c r="K547" s="135"/>
    </row>
    <row r="548">
      <c r="E548" s="46"/>
      <c r="F548" s="131"/>
      <c r="H548" s="132"/>
      <c r="I548" s="133"/>
      <c r="J548" s="134"/>
      <c r="K548" s="135"/>
    </row>
    <row r="549">
      <c r="E549" s="46"/>
      <c r="F549" s="131"/>
      <c r="H549" s="132"/>
      <c r="I549" s="133"/>
      <c r="J549" s="134"/>
      <c r="K549" s="135"/>
    </row>
    <row r="550">
      <c r="E550" s="46"/>
      <c r="F550" s="131"/>
      <c r="H550" s="132"/>
      <c r="I550" s="133"/>
      <c r="J550" s="134"/>
      <c r="K550" s="135"/>
    </row>
    <row r="551">
      <c r="E551" s="46"/>
      <c r="F551" s="131"/>
      <c r="H551" s="132"/>
      <c r="I551" s="133"/>
      <c r="J551" s="134"/>
      <c r="K551" s="135"/>
    </row>
    <row r="552">
      <c r="E552" s="46"/>
      <c r="F552" s="131"/>
      <c r="H552" s="132"/>
      <c r="I552" s="133"/>
      <c r="J552" s="134"/>
      <c r="K552" s="135"/>
    </row>
    <row r="553">
      <c r="E553" s="46"/>
      <c r="F553" s="131"/>
      <c r="H553" s="132"/>
      <c r="I553" s="133"/>
      <c r="J553" s="134"/>
      <c r="K553" s="135"/>
    </row>
    <row r="554">
      <c r="E554" s="46"/>
      <c r="F554" s="131"/>
      <c r="H554" s="132"/>
      <c r="I554" s="133"/>
      <c r="J554" s="134"/>
      <c r="K554" s="135"/>
    </row>
    <row r="555">
      <c r="E555" s="46"/>
      <c r="F555" s="131"/>
      <c r="H555" s="132"/>
      <c r="I555" s="133"/>
      <c r="J555" s="134"/>
      <c r="K555" s="135"/>
    </row>
    <row r="556">
      <c r="E556" s="46"/>
      <c r="F556" s="131"/>
      <c r="H556" s="132"/>
      <c r="I556" s="133"/>
      <c r="J556" s="134"/>
      <c r="K556" s="135"/>
    </row>
    <row r="557">
      <c r="E557" s="46"/>
      <c r="F557" s="131"/>
      <c r="H557" s="132"/>
      <c r="I557" s="133"/>
      <c r="J557" s="134"/>
      <c r="K557" s="135"/>
    </row>
    <row r="558">
      <c r="E558" s="46"/>
      <c r="F558" s="131"/>
      <c r="H558" s="132"/>
      <c r="I558" s="133"/>
      <c r="J558" s="134"/>
      <c r="K558" s="135"/>
    </row>
    <row r="559">
      <c r="E559" s="46"/>
      <c r="F559" s="131"/>
      <c r="H559" s="132"/>
      <c r="I559" s="133"/>
      <c r="J559" s="134"/>
      <c r="K559" s="135"/>
    </row>
    <row r="560">
      <c r="E560" s="46"/>
      <c r="F560" s="131"/>
      <c r="H560" s="132"/>
      <c r="I560" s="133"/>
      <c r="J560" s="134"/>
      <c r="K560" s="135"/>
    </row>
    <row r="561">
      <c r="E561" s="46"/>
      <c r="F561" s="131"/>
      <c r="H561" s="132"/>
      <c r="I561" s="133"/>
      <c r="J561" s="134"/>
      <c r="K561" s="135"/>
    </row>
    <row r="562">
      <c r="E562" s="46"/>
      <c r="F562" s="131"/>
      <c r="H562" s="132"/>
      <c r="I562" s="133"/>
      <c r="J562" s="134"/>
      <c r="K562" s="135"/>
    </row>
    <row r="563">
      <c r="E563" s="46"/>
      <c r="F563" s="131"/>
      <c r="H563" s="132"/>
      <c r="I563" s="133"/>
      <c r="J563" s="134"/>
      <c r="K563" s="135"/>
    </row>
    <row r="564">
      <c r="E564" s="46"/>
      <c r="F564" s="131"/>
      <c r="H564" s="132"/>
      <c r="I564" s="133"/>
      <c r="J564" s="134"/>
      <c r="K564" s="135"/>
    </row>
    <row r="565">
      <c r="E565" s="46"/>
      <c r="F565" s="131"/>
      <c r="H565" s="132"/>
      <c r="I565" s="133"/>
      <c r="J565" s="134"/>
      <c r="K565" s="135"/>
    </row>
    <row r="566">
      <c r="E566" s="46"/>
      <c r="F566" s="131"/>
      <c r="H566" s="132"/>
      <c r="I566" s="133"/>
      <c r="J566" s="134"/>
      <c r="K566" s="135"/>
    </row>
    <row r="567">
      <c r="E567" s="46"/>
      <c r="F567" s="131"/>
      <c r="H567" s="132"/>
      <c r="I567" s="133"/>
      <c r="J567" s="134"/>
      <c r="K567" s="135"/>
    </row>
    <row r="568">
      <c r="E568" s="46"/>
      <c r="F568" s="131"/>
      <c r="H568" s="132"/>
      <c r="I568" s="133"/>
      <c r="J568" s="134"/>
      <c r="K568" s="135"/>
    </row>
    <row r="569">
      <c r="E569" s="46"/>
      <c r="F569" s="131"/>
      <c r="H569" s="132"/>
      <c r="I569" s="133"/>
      <c r="J569" s="134"/>
      <c r="K569" s="135"/>
    </row>
    <row r="570">
      <c r="E570" s="46"/>
      <c r="F570" s="131"/>
      <c r="H570" s="132"/>
      <c r="I570" s="133"/>
      <c r="J570" s="134"/>
      <c r="K570" s="135"/>
    </row>
    <row r="571">
      <c r="E571" s="46"/>
      <c r="F571" s="131"/>
      <c r="H571" s="132"/>
      <c r="I571" s="133"/>
      <c r="J571" s="134"/>
      <c r="K571" s="135"/>
    </row>
    <row r="572">
      <c r="E572" s="46"/>
      <c r="F572" s="131"/>
      <c r="H572" s="132"/>
      <c r="I572" s="133"/>
      <c r="J572" s="134"/>
      <c r="K572" s="135"/>
    </row>
    <row r="573">
      <c r="E573" s="46"/>
      <c r="F573" s="131"/>
      <c r="H573" s="132"/>
      <c r="I573" s="133"/>
      <c r="J573" s="134"/>
      <c r="K573" s="135"/>
    </row>
    <row r="574">
      <c r="E574" s="46"/>
      <c r="F574" s="131"/>
      <c r="H574" s="132"/>
      <c r="I574" s="133"/>
      <c r="J574" s="134"/>
      <c r="K574" s="135"/>
    </row>
    <row r="575">
      <c r="E575" s="46"/>
      <c r="F575" s="131"/>
      <c r="H575" s="132"/>
      <c r="I575" s="133"/>
      <c r="J575" s="134"/>
      <c r="K575" s="135"/>
    </row>
    <row r="576">
      <c r="E576" s="46"/>
      <c r="F576" s="131"/>
      <c r="H576" s="132"/>
      <c r="I576" s="133"/>
      <c r="J576" s="134"/>
      <c r="K576" s="135"/>
    </row>
    <row r="577">
      <c r="E577" s="46"/>
      <c r="F577" s="131"/>
      <c r="H577" s="132"/>
      <c r="I577" s="133"/>
      <c r="J577" s="134"/>
      <c r="K577" s="135"/>
    </row>
    <row r="578">
      <c r="E578" s="46"/>
      <c r="F578" s="131"/>
      <c r="H578" s="132"/>
      <c r="I578" s="133"/>
      <c r="J578" s="134"/>
      <c r="K578" s="135"/>
    </row>
    <row r="579">
      <c r="E579" s="46"/>
      <c r="F579" s="131"/>
      <c r="H579" s="132"/>
      <c r="I579" s="133"/>
      <c r="J579" s="134"/>
      <c r="K579" s="135"/>
    </row>
    <row r="580">
      <c r="E580" s="46"/>
      <c r="F580" s="131"/>
      <c r="H580" s="132"/>
      <c r="I580" s="133"/>
      <c r="J580" s="134"/>
      <c r="K580" s="135"/>
    </row>
    <row r="581">
      <c r="E581" s="46"/>
      <c r="F581" s="131"/>
      <c r="H581" s="132"/>
      <c r="I581" s="133"/>
      <c r="J581" s="134"/>
      <c r="K581" s="135"/>
    </row>
    <row r="582">
      <c r="E582" s="46"/>
      <c r="F582" s="131"/>
      <c r="H582" s="132"/>
      <c r="I582" s="133"/>
      <c r="J582" s="134"/>
      <c r="K582" s="135"/>
    </row>
    <row r="583">
      <c r="E583" s="46"/>
      <c r="F583" s="131"/>
      <c r="H583" s="132"/>
      <c r="I583" s="133"/>
      <c r="J583" s="134"/>
      <c r="K583" s="135"/>
    </row>
    <row r="584">
      <c r="E584" s="46"/>
      <c r="F584" s="131"/>
      <c r="H584" s="132"/>
      <c r="I584" s="133"/>
      <c r="J584" s="134"/>
      <c r="K584" s="135"/>
    </row>
    <row r="585">
      <c r="E585" s="46"/>
      <c r="F585" s="131"/>
      <c r="H585" s="132"/>
      <c r="I585" s="133"/>
      <c r="J585" s="134"/>
      <c r="K585" s="135"/>
    </row>
    <row r="586">
      <c r="E586" s="46"/>
      <c r="F586" s="131"/>
      <c r="H586" s="132"/>
      <c r="I586" s="133"/>
      <c r="J586" s="134"/>
      <c r="K586" s="135"/>
    </row>
    <row r="587">
      <c r="E587" s="46"/>
      <c r="F587" s="131"/>
      <c r="H587" s="132"/>
      <c r="I587" s="133"/>
      <c r="J587" s="134"/>
      <c r="K587" s="135"/>
    </row>
    <row r="588">
      <c r="E588" s="46"/>
      <c r="F588" s="131"/>
      <c r="H588" s="132"/>
      <c r="I588" s="133"/>
      <c r="J588" s="134"/>
      <c r="K588" s="135"/>
    </row>
    <row r="589">
      <c r="E589" s="46"/>
      <c r="F589" s="131"/>
      <c r="H589" s="132"/>
      <c r="I589" s="133"/>
      <c r="J589" s="134"/>
      <c r="K589" s="135"/>
    </row>
    <row r="590">
      <c r="E590" s="46"/>
      <c r="F590" s="131"/>
      <c r="H590" s="132"/>
      <c r="I590" s="133"/>
      <c r="J590" s="134"/>
      <c r="K590" s="135"/>
    </row>
    <row r="591">
      <c r="E591" s="46"/>
      <c r="F591" s="131"/>
      <c r="H591" s="132"/>
      <c r="I591" s="133"/>
      <c r="J591" s="134"/>
      <c r="K591" s="135"/>
    </row>
    <row r="592">
      <c r="E592" s="46"/>
      <c r="F592" s="131"/>
      <c r="H592" s="132"/>
      <c r="I592" s="133"/>
      <c r="J592" s="134"/>
      <c r="K592" s="135"/>
    </row>
    <row r="593">
      <c r="E593" s="46"/>
      <c r="F593" s="131"/>
      <c r="H593" s="132"/>
      <c r="I593" s="133"/>
      <c r="J593" s="134"/>
      <c r="K593" s="135"/>
    </row>
    <row r="594">
      <c r="E594" s="46"/>
      <c r="F594" s="131"/>
      <c r="H594" s="132"/>
      <c r="I594" s="133"/>
      <c r="J594" s="134"/>
      <c r="K594" s="135"/>
    </row>
    <row r="595">
      <c r="E595" s="46"/>
      <c r="F595" s="131"/>
      <c r="H595" s="132"/>
      <c r="I595" s="133"/>
      <c r="J595" s="134"/>
      <c r="K595" s="135"/>
    </row>
    <row r="596">
      <c r="E596" s="46"/>
      <c r="F596" s="131"/>
      <c r="H596" s="132"/>
      <c r="I596" s="133"/>
      <c r="J596" s="134"/>
      <c r="K596" s="135"/>
    </row>
    <row r="597">
      <c r="E597" s="46"/>
      <c r="F597" s="131"/>
      <c r="H597" s="132"/>
      <c r="I597" s="133"/>
      <c r="J597" s="134"/>
      <c r="K597" s="135"/>
    </row>
    <row r="598">
      <c r="E598" s="46"/>
      <c r="F598" s="131"/>
      <c r="H598" s="132"/>
      <c r="I598" s="133"/>
      <c r="J598" s="134"/>
      <c r="K598" s="135"/>
    </row>
    <row r="599">
      <c r="E599" s="46"/>
      <c r="F599" s="131"/>
      <c r="H599" s="132"/>
      <c r="I599" s="133"/>
      <c r="J599" s="134"/>
      <c r="K599" s="135"/>
    </row>
    <row r="600">
      <c r="E600" s="46"/>
      <c r="F600" s="131"/>
      <c r="H600" s="132"/>
      <c r="I600" s="133"/>
      <c r="J600" s="134"/>
      <c r="K600" s="135"/>
    </row>
    <row r="601">
      <c r="E601" s="46"/>
      <c r="F601" s="131"/>
      <c r="H601" s="132"/>
      <c r="I601" s="133"/>
      <c r="J601" s="134"/>
      <c r="K601" s="135"/>
    </row>
    <row r="602">
      <c r="E602" s="46"/>
      <c r="F602" s="131"/>
      <c r="H602" s="132"/>
      <c r="I602" s="133"/>
      <c r="J602" s="134"/>
      <c r="K602" s="135"/>
    </row>
    <row r="603">
      <c r="E603" s="46"/>
      <c r="F603" s="131"/>
      <c r="H603" s="132"/>
      <c r="I603" s="133"/>
      <c r="J603" s="134"/>
      <c r="K603" s="135"/>
    </row>
    <row r="604">
      <c r="E604" s="46"/>
      <c r="F604" s="131"/>
      <c r="H604" s="132"/>
      <c r="I604" s="133"/>
      <c r="J604" s="134"/>
      <c r="K604" s="135"/>
    </row>
    <row r="605">
      <c r="E605" s="46"/>
      <c r="F605" s="131"/>
      <c r="H605" s="132"/>
      <c r="I605" s="133"/>
      <c r="J605" s="134"/>
      <c r="K605" s="135"/>
    </row>
    <row r="606">
      <c r="E606" s="46"/>
      <c r="F606" s="131"/>
      <c r="H606" s="132"/>
      <c r="I606" s="133"/>
      <c r="J606" s="134"/>
      <c r="K606" s="135"/>
    </row>
    <row r="607">
      <c r="E607" s="46"/>
      <c r="F607" s="131"/>
      <c r="H607" s="132"/>
      <c r="I607" s="133"/>
      <c r="J607" s="134"/>
      <c r="K607" s="135"/>
    </row>
    <row r="608">
      <c r="E608" s="46"/>
      <c r="F608" s="131"/>
      <c r="H608" s="132"/>
      <c r="I608" s="133"/>
      <c r="J608" s="134"/>
      <c r="K608" s="135"/>
    </row>
    <row r="609">
      <c r="E609" s="46"/>
      <c r="F609" s="131"/>
      <c r="H609" s="132"/>
      <c r="I609" s="133"/>
      <c r="J609" s="134"/>
      <c r="K609" s="135"/>
    </row>
    <row r="610">
      <c r="E610" s="46"/>
      <c r="F610" s="131"/>
      <c r="H610" s="132"/>
      <c r="I610" s="133"/>
      <c r="J610" s="134"/>
      <c r="K610" s="135"/>
    </row>
    <row r="611">
      <c r="E611" s="46"/>
      <c r="F611" s="131"/>
      <c r="H611" s="132"/>
      <c r="I611" s="133"/>
      <c r="J611" s="134"/>
      <c r="K611" s="135"/>
    </row>
    <row r="612">
      <c r="E612" s="46"/>
      <c r="F612" s="131"/>
      <c r="H612" s="132"/>
      <c r="I612" s="133"/>
      <c r="J612" s="134"/>
      <c r="K612" s="135"/>
    </row>
    <row r="613">
      <c r="E613" s="46"/>
      <c r="F613" s="131"/>
      <c r="H613" s="132"/>
      <c r="I613" s="133"/>
      <c r="J613" s="134"/>
      <c r="K613" s="135"/>
    </row>
    <row r="614">
      <c r="E614" s="46"/>
      <c r="F614" s="131"/>
      <c r="H614" s="132"/>
      <c r="I614" s="133"/>
      <c r="J614" s="134"/>
      <c r="K614" s="135"/>
    </row>
    <row r="615">
      <c r="E615" s="46"/>
      <c r="F615" s="131"/>
      <c r="H615" s="132"/>
      <c r="I615" s="133"/>
      <c r="J615" s="134"/>
      <c r="K615" s="135"/>
    </row>
    <row r="616">
      <c r="E616" s="46"/>
      <c r="F616" s="131"/>
      <c r="H616" s="132"/>
      <c r="I616" s="133"/>
      <c r="J616" s="134"/>
      <c r="K616" s="135"/>
    </row>
    <row r="617">
      <c r="E617" s="46"/>
      <c r="F617" s="131"/>
      <c r="H617" s="132"/>
      <c r="I617" s="133"/>
      <c r="J617" s="134"/>
      <c r="K617" s="135"/>
    </row>
    <row r="618">
      <c r="E618" s="46"/>
      <c r="F618" s="131"/>
      <c r="H618" s="132"/>
      <c r="I618" s="133"/>
      <c r="J618" s="134"/>
      <c r="K618" s="135"/>
    </row>
    <row r="619">
      <c r="E619" s="46"/>
      <c r="F619" s="131"/>
      <c r="H619" s="132"/>
      <c r="I619" s="133"/>
      <c r="J619" s="134"/>
      <c r="K619" s="135"/>
    </row>
    <row r="620">
      <c r="E620" s="46"/>
      <c r="F620" s="131"/>
      <c r="H620" s="132"/>
      <c r="I620" s="133"/>
      <c r="J620" s="134"/>
      <c r="K620" s="135"/>
    </row>
    <row r="621">
      <c r="E621" s="46"/>
      <c r="F621" s="131"/>
      <c r="H621" s="132"/>
      <c r="I621" s="133"/>
      <c r="J621" s="134"/>
      <c r="K621" s="135"/>
    </row>
    <row r="622">
      <c r="E622" s="46"/>
      <c r="F622" s="131"/>
      <c r="H622" s="132"/>
      <c r="I622" s="133"/>
      <c r="J622" s="134"/>
      <c r="K622" s="135"/>
    </row>
    <row r="623">
      <c r="E623" s="46"/>
      <c r="F623" s="131"/>
      <c r="H623" s="132"/>
      <c r="I623" s="133"/>
      <c r="J623" s="134"/>
      <c r="K623" s="135"/>
    </row>
    <row r="624">
      <c r="E624" s="46"/>
      <c r="F624" s="131"/>
      <c r="H624" s="132"/>
      <c r="I624" s="133"/>
      <c r="J624" s="134"/>
      <c r="K624" s="135"/>
    </row>
    <row r="625">
      <c r="E625" s="46"/>
      <c r="F625" s="131"/>
      <c r="H625" s="132"/>
      <c r="I625" s="133"/>
      <c r="J625" s="134"/>
      <c r="K625" s="135"/>
    </row>
    <row r="626">
      <c r="E626" s="46"/>
      <c r="F626" s="131"/>
      <c r="H626" s="132"/>
      <c r="I626" s="133"/>
      <c r="J626" s="134"/>
      <c r="K626" s="135"/>
    </row>
    <row r="627">
      <c r="E627" s="46"/>
      <c r="F627" s="131"/>
      <c r="H627" s="132"/>
      <c r="I627" s="133"/>
      <c r="J627" s="134"/>
      <c r="K627" s="135"/>
    </row>
    <row r="628">
      <c r="E628" s="46"/>
      <c r="F628" s="131"/>
      <c r="H628" s="132"/>
      <c r="I628" s="133"/>
      <c r="J628" s="134"/>
      <c r="K628" s="135"/>
    </row>
    <row r="629">
      <c r="E629" s="46"/>
      <c r="F629" s="131"/>
      <c r="H629" s="132"/>
      <c r="I629" s="133"/>
      <c r="J629" s="134"/>
      <c r="K629" s="135"/>
    </row>
    <row r="630">
      <c r="E630" s="46"/>
      <c r="F630" s="131"/>
      <c r="H630" s="132"/>
      <c r="I630" s="133"/>
      <c r="J630" s="134"/>
      <c r="K630" s="135"/>
    </row>
    <row r="631">
      <c r="E631" s="46"/>
      <c r="F631" s="131"/>
      <c r="H631" s="132"/>
      <c r="I631" s="133"/>
      <c r="J631" s="134"/>
      <c r="K631" s="135"/>
    </row>
    <row r="632">
      <c r="E632" s="46"/>
      <c r="F632" s="131"/>
      <c r="H632" s="132"/>
      <c r="I632" s="133"/>
      <c r="J632" s="134"/>
      <c r="K632" s="135"/>
    </row>
    <row r="633">
      <c r="E633" s="46"/>
      <c r="F633" s="131"/>
      <c r="H633" s="132"/>
      <c r="I633" s="133"/>
      <c r="J633" s="134"/>
      <c r="K633" s="135"/>
    </row>
    <row r="634">
      <c r="E634" s="46"/>
      <c r="F634" s="131"/>
      <c r="H634" s="132"/>
      <c r="I634" s="133"/>
      <c r="J634" s="134"/>
      <c r="K634" s="135"/>
    </row>
    <row r="635">
      <c r="E635" s="46"/>
      <c r="F635" s="131"/>
      <c r="H635" s="132"/>
      <c r="I635" s="133"/>
      <c r="J635" s="134"/>
      <c r="K635" s="135"/>
    </row>
    <row r="636">
      <c r="E636" s="46"/>
      <c r="F636" s="131"/>
      <c r="H636" s="132"/>
      <c r="I636" s="133"/>
      <c r="J636" s="134"/>
      <c r="K636" s="135"/>
    </row>
    <row r="637">
      <c r="E637" s="46"/>
      <c r="F637" s="131"/>
      <c r="H637" s="132"/>
      <c r="I637" s="133"/>
      <c r="J637" s="134"/>
      <c r="K637" s="135"/>
    </row>
    <row r="638">
      <c r="E638" s="46"/>
      <c r="F638" s="131"/>
      <c r="H638" s="132"/>
      <c r="I638" s="133"/>
      <c r="J638" s="134"/>
      <c r="K638" s="135"/>
    </row>
    <row r="639">
      <c r="E639" s="46"/>
      <c r="F639" s="131"/>
      <c r="H639" s="132"/>
      <c r="I639" s="133"/>
      <c r="J639" s="134"/>
      <c r="K639" s="135"/>
    </row>
    <row r="640">
      <c r="E640" s="46"/>
      <c r="F640" s="131"/>
      <c r="H640" s="132"/>
      <c r="I640" s="133"/>
      <c r="J640" s="134"/>
      <c r="K640" s="135"/>
    </row>
    <row r="641">
      <c r="E641" s="46"/>
      <c r="F641" s="131"/>
      <c r="H641" s="132"/>
      <c r="I641" s="133"/>
      <c r="J641" s="134"/>
      <c r="K641" s="135"/>
    </row>
    <row r="642">
      <c r="E642" s="46"/>
      <c r="F642" s="131"/>
      <c r="H642" s="132"/>
      <c r="I642" s="133"/>
      <c r="J642" s="134"/>
      <c r="K642" s="135"/>
    </row>
    <row r="643">
      <c r="E643" s="46"/>
      <c r="F643" s="131"/>
      <c r="H643" s="132"/>
      <c r="I643" s="133"/>
      <c r="J643" s="134"/>
      <c r="K643" s="135"/>
    </row>
    <row r="644">
      <c r="E644" s="46"/>
      <c r="F644" s="131"/>
      <c r="H644" s="132"/>
      <c r="I644" s="133"/>
      <c r="J644" s="134"/>
      <c r="K644" s="135"/>
    </row>
    <row r="645">
      <c r="E645" s="46"/>
      <c r="F645" s="131"/>
      <c r="H645" s="132"/>
      <c r="I645" s="133"/>
      <c r="J645" s="134"/>
      <c r="K645" s="135"/>
    </row>
    <row r="646">
      <c r="E646" s="46"/>
      <c r="F646" s="131"/>
      <c r="H646" s="132"/>
      <c r="I646" s="133"/>
      <c r="J646" s="134"/>
      <c r="K646" s="135"/>
    </row>
    <row r="647">
      <c r="E647" s="46"/>
      <c r="F647" s="131"/>
      <c r="H647" s="132"/>
      <c r="I647" s="133"/>
      <c r="J647" s="134"/>
      <c r="K647" s="135"/>
    </row>
    <row r="648">
      <c r="E648" s="46"/>
      <c r="F648" s="131"/>
      <c r="H648" s="132"/>
      <c r="I648" s="133"/>
      <c r="J648" s="134"/>
      <c r="K648" s="135"/>
    </row>
    <row r="649">
      <c r="E649" s="46"/>
      <c r="F649" s="131"/>
      <c r="H649" s="132"/>
      <c r="I649" s="133"/>
      <c r="J649" s="134"/>
      <c r="K649" s="135"/>
    </row>
    <row r="650">
      <c r="E650" s="46"/>
      <c r="F650" s="131"/>
      <c r="H650" s="132"/>
      <c r="I650" s="133"/>
      <c r="J650" s="134"/>
      <c r="K650" s="135"/>
    </row>
    <row r="651">
      <c r="E651" s="46"/>
      <c r="F651" s="131"/>
      <c r="H651" s="132"/>
      <c r="I651" s="133"/>
      <c r="J651" s="134"/>
      <c r="K651" s="135"/>
    </row>
    <row r="652">
      <c r="E652" s="46"/>
      <c r="F652" s="131"/>
      <c r="H652" s="132"/>
      <c r="I652" s="133"/>
      <c r="J652" s="134"/>
      <c r="K652" s="135"/>
    </row>
    <row r="653">
      <c r="E653" s="46"/>
      <c r="F653" s="131"/>
      <c r="H653" s="132"/>
      <c r="I653" s="133"/>
      <c r="J653" s="134"/>
      <c r="K653" s="135"/>
    </row>
    <row r="654">
      <c r="E654" s="46"/>
      <c r="F654" s="131"/>
      <c r="H654" s="132"/>
      <c r="I654" s="133"/>
      <c r="J654" s="134"/>
      <c r="K654" s="135"/>
    </row>
    <row r="655">
      <c r="E655" s="46"/>
      <c r="F655" s="131"/>
      <c r="H655" s="132"/>
      <c r="I655" s="133"/>
      <c r="J655" s="134"/>
      <c r="K655" s="135"/>
    </row>
    <row r="656">
      <c r="E656" s="46"/>
      <c r="F656" s="131"/>
      <c r="H656" s="132"/>
      <c r="I656" s="133"/>
      <c r="J656" s="134"/>
      <c r="K656" s="135"/>
    </row>
    <row r="657">
      <c r="E657" s="46"/>
      <c r="F657" s="131"/>
      <c r="H657" s="132"/>
      <c r="I657" s="133"/>
      <c r="J657" s="134"/>
      <c r="K657" s="135"/>
    </row>
    <row r="658">
      <c r="E658" s="46"/>
      <c r="F658" s="131"/>
      <c r="H658" s="132"/>
      <c r="I658" s="133"/>
      <c r="J658" s="134"/>
      <c r="K658" s="135"/>
    </row>
    <row r="659">
      <c r="E659" s="46"/>
      <c r="F659" s="131"/>
      <c r="H659" s="132"/>
      <c r="I659" s="133"/>
      <c r="J659" s="134"/>
      <c r="K659" s="135"/>
    </row>
    <row r="660">
      <c r="E660" s="46"/>
      <c r="F660" s="131"/>
      <c r="H660" s="132"/>
      <c r="I660" s="133"/>
      <c r="J660" s="134"/>
      <c r="K660" s="135"/>
    </row>
    <row r="661">
      <c r="E661" s="46"/>
      <c r="F661" s="131"/>
      <c r="H661" s="132"/>
      <c r="I661" s="133"/>
      <c r="J661" s="134"/>
      <c r="K661" s="135"/>
    </row>
    <row r="662">
      <c r="E662" s="46"/>
      <c r="F662" s="131"/>
      <c r="H662" s="132"/>
      <c r="I662" s="133"/>
      <c r="J662" s="134"/>
      <c r="K662" s="135"/>
    </row>
    <row r="663">
      <c r="E663" s="46"/>
      <c r="F663" s="131"/>
      <c r="H663" s="132"/>
      <c r="I663" s="133"/>
      <c r="J663" s="134"/>
      <c r="K663" s="135"/>
    </row>
    <row r="664">
      <c r="E664" s="46"/>
      <c r="F664" s="131"/>
      <c r="H664" s="132"/>
      <c r="I664" s="133"/>
      <c r="J664" s="134"/>
      <c r="K664" s="135"/>
    </row>
    <row r="665">
      <c r="E665" s="46"/>
      <c r="F665" s="131"/>
      <c r="H665" s="132"/>
      <c r="I665" s="133"/>
      <c r="J665" s="134"/>
      <c r="K665" s="135"/>
    </row>
    <row r="666">
      <c r="E666" s="46"/>
      <c r="F666" s="131"/>
      <c r="H666" s="132"/>
      <c r="I666" s="133"/>
      <c r="J666" s="134"/>
      <c r="K666" s="135"/>
    </row>
    <row r="667">
      <c r="E667" s="46"/>
      <c r="F667" s="131"/>
      <c r="H667" s="132"/>
      <c r="I667" s="133"/>
      <c r="J667" s="134"/>
      <c r="K667" s="135"/>
    </row>
    <row r="668">
      <c r="E668" s="46"/>
      <c r="F668" s="131"/>
      <c r="H668" s="132"/>
      <c r="I668" s="133"/>
      <c r="J668" s="134"/>
      <c r="K668" s="135"/>
    </row>
    <row r="669">
      <c r="E669" s="46"/>
      <c r="F669" s="131"/>
      <c r="H669" s="132"/>
      <c r="I669" s="133"/>
      <c r="J669" s="134"/>
      <c r="K669" s="135"/>
    </row>
    <row r="670">
      <c r="E670" s="46"/>
      <c r="F670" s="131"/>
      <c r="H670" s="132"/>
      <c r="I670" s="133"/>
      <c r="J670" s="134"/>
      <c r="K670" s="135"/>
    </row>
    <row r="671">
      <c r="E671" s="46"/>
      <c r="F671" s="131"/>
      <c r="H671" s="132"/>
      <c r="I671" s="133"/>
      <c r="J671" s="134"/>
      <c r="K671" s="135"/>
    </row>
    <row r="672">
      <c r="E672" s="46"/>
      <c r="F672" s="131"/>
      <c r="H672" s="132"/>
      <c r="I672" s="133"/>
      <c r="J672" s="134"/>
      <c r="K672" s="135"/>
    </row>
    <row r="673">
      <c r="E673" s="46"/>
      <c r="F673" s="131"/>
      <c r="H673" s="132"/>
      <c r="I673" s="133"/>
      <c r="J673" s="134"/>
      <c r="K673" s="135"/>
    </row>
    <row r="674">
      <c r="E674" s="46"/>
      <c r="F674" s="131"/>
      <c r="H674" s="132"/>
      <c r="I674" s="133"/>
      <c r="J674" s="134"/>
      <c r="K674" s="135"/>
    </row>
    <row r="675">
      <c r="E675" s="46"/>
      <c r="F675" s="131"/>
      <c r="H675" s="132"/>
      <c r="I675" s="133"/>
      <c r="J675" s="134"/>
      <c r="K675" s="135"/>
    </row>
    <row r="676">
      <c r="E676" s="46"/>
      <c r="F676" s="131"/>
      <c r="H676" s="132"/>
      <c r="I676" s="133"/>
      <c r="J676" s="134"/>
      <c r="K676" s="135"/>
    </row>
    <row r="677">
      <c r="E677" s="46"/>
      <c r="F677" s="131"/>
      <c r="H677" s="132"/>
      <c r="I677" s="133"/>
      <c r="J677" s="134"/>
      <c r="K677" s="135"/>
    </row>
    <row r="678">
      <c r="E678" s="46"/>
      <c r="F678" s="131"/>
      <c r="H678" s="132"/>
      <c r="I678" s="133"/>
      <c r="J678" s="134"/>
      <c r="K678" s="135"/>
    </row>
    <row r="679">
      <c r="E679" s="46"/>
      <c r="F679" s="131"/>
      <c r="H679" s="132"/>
      <c r="I679" s="133"/>
      <c r="J679" s="134"/>
      <c r="K679" s="135"/>
    </row>
    <row r="680">
      <c r="E680" s="46"/>
      <c r="F680" s="131"/>
      <c r="H680" s="132"/>
      <c r="I680" s="133"/>
      <c r="J680" s="134"/>
      <c r="K680" s="135"/>
    </row>
    <row r="681">
      <c r="E681" s="46"/>
      <c r="F681" s="131"/>
      <c r="H681" s="132"/>
      <c r="I681" s="133"/>
      <c r="J681" s="134"/>
      <c r="K681" s="135"/>
    </row>
    <row r="682">
      <c r="E682" s="46"/>
      <c r="F682" s="131"/>
      <c r="H682" s="132"/>
      <c r="I682" s="133"/>
      <c r="J682" s="134"/>
      <c r="K682" s="135"/>
    </row>
    <row r="683">
      <c r="E683" s="46"/>
      <c r="F683" s="131"/>
      <c r="H683" s="132"/>
      <c r="I683" s="133"/>
      <c r="J683" s="134"/>
      <c r="K683" s="135"/>
    </row>
    <row r="684">
      <c r="E684" s="46"/>
      <c r="F684" s="131"/>
      <c r="H684" s="132"/>
      <c r="I684" s="133"/>
      <c r="J684" s="134"/>
      <c r="K684" s="135"/>
    </row>
    <row r="685">
      <c r="E685" s="46"/>
      <c r="F685" s="131"/>
      <c r="H685" s="132"/>
      <c r="I685" s="133"/>
      <c r="J685" s="134"/>
      <c r="K685" s="135"/>
    </row>
    <row r="686">
      <c r="E686" s="46"/>
      <c r="F686" s="131"/>
      <c r="H686" s="132"/>
      <c r="I686" s="133"/>
      <c r="J686" s="134"/>
      <c r="K686" s="135"/>
    </row>
    <row r="687">
      <c r="E687" s="46"/>
      <c r="F687" s="131"/>
      <c r="H687" s="132"/>
      <c r="I687" s="133"/>
      <c r="J687" s="134"/>
      <c r="K687" s="135"/>
    </row>
    <row r="688">
      <c r="E688" s="46"/>
      <c r="F688" s="131"/>
      <c r="H688" s="132"/>
      <c r="I688" s="133"/>
      <c r="J688" s="134"/>
      <c r="K688" s="135"/>
    </row>
    <row r="689">
      <c r="E689" s="46"/>
      <c r="F689" s="131"/>
      <c r="H689" s="132"/>
      <c r="I689" s="133"/>
      <c r="J689" s="134"/>
      <c r="K689" s="135"/>
    </row>
    <row r="690">
      <c r="E690" s="46"/>
      <c r="F690" s="131"/>
      <c r="H690" s="132"/>
      <c r="I690" s="133"/>
      <c r="J690" s="134"/>
      <c r="K690" s="135"/>
    </row>
    <row r="691">
      <c r="E691" s="46"/>
      <c r="F691" s="131"/>
      <c r="H691" s="132"/>
      <c r="I691" s="133"/>
      <c r="J691" s="134"/>
      <c r="K691" s="135"/>
    </row>
    <row r="692">
      <c r="E692" s="46"/>
      <c r="F692" s="131"/>
      <c r="H692" s="132"/>
      <c r="I692" s="133"/>
      <c r="J692" s="134"/>
      <c r="K692" s="135"/>
    </row>
    <row r="693">
      <c r="E693" s="46"/>
      <c r="F693" s="131"/>
      <c r="H693" s="132"/>
      <c r="I693" s="133"/>
      <c r="J693" s="134"/>
      <c r="K693" s="135"/>
    </row>
    <row r="694">
      <c r="E694" s="46"/>
      <c r="F694" s="131"/>
      <c r="H694" s="132"/>
      <c r="I694" s="133"/>
      <c r="J694" s="134"/>
      <c r="K694" s="135"/>
    </row>
    <row r="695">
      <c r="E695" s="46"/>
      <c r="F695" s="131"/>
      <c r="H695" s="132"/>
      <c r="I695" s="133"/>
      <c r="J695" s="134"/>
      <c r="K695" s="135"/>
    </row>
    <row r="696">
      <c r="E696" s="46"/>
      <c r="F696" s="131"/>
      <c r="H696" s="132"/>
      <c r="I696" s="133"/>
      <c r="J696" s="134"/>
      <c r="K696" s="135"/>
    </row>
    <row r="697">
      <c r="E697" s="46"/>
      <c r="F697" s="131"/>
      <c r="H697" s="132"/>
      <c r="I697" s="133"/>
      <c r="J697" s="134"/>
      <c r="K697" s="135"/>
    </row>
    <row r="698">
      <c r="E698" s="46"/>
      <c r="F698" s="131"/>
      <c r="H698" s="132"/>
      <c r="I698" s="133"/>
      <c r="J698" s="134"/>
      <c r="K698" s="135"/>
    </row>
    <row r="699">
      <c r="E699" s="46"/>
      <c r="F699" s="131"/>
      <c r="H699" s="132"/>
      <c r="I699" s="133"/>
      <c r="J699" s="134"/>
      <c r="K699" s="135"/>
    </row>
    <row r="700">
      <c r="E700" s="46"/>
      <c r="F700" s="131"/>
      <c r="H700" s="132"/>
      <c r="I700" s="133"/>
      <c r="J700" s="134"/>
      <c r="K700" s="135"/>
    </row>
    <row r="701">
      <c r="E701" s="46"/>
      <c r="F701" s="131"/>
      <c r="H701" s="132"/>
      <c r="I701" s="133"/>
      <c r="J701" s="134"/>
      <c r="K701" s="135"/>
    </row>
    <row r="702">
      <c r="E702" s="46"/>
      <c r="F702" s="131"/>
      <c r="H702" s="132"/>
      <c r="I702" s="133"/>
      <c r="J702" s="134"/>
      <c r="K702" s="135"/>
    </row>
    <row r="703">
      <c r="E703" s="46"/>
      <c r="F703" s="131"/>
      <c r="H703" s="132"/>
      <c r="I703" s="133"/>
      <c r="J703" s="134"/>
      <c r="K703" s="135"/>
    </row>
    <row r="704">
      <c r="E704" s="46"/>
      <c r="F704" s="131"/>
      <c r="H704" s="132"/>
      <c r="I704" s="133"/>
      <c r="J704" s="134"/>
      <c r="K704" s="135"/>
    </row>
    <row r="705">
      <c r="E705" s="46"/>
      <c r="F705" s="131"/>
      <c r="H705" s="132"/>
      <c r="I705" s="133"/>
      <c r="J705" s="134"/>
      <c r="K705" s="135"/>
    </row>
    <row r="706">
      <c r="E706" s="46"/>
      <c r="F706" s="131"/>
      <c r="H706" s="132"/>
      <c r="I706" s="133"/>
      <c r="J706" s="134"/>
      <c r="K706" s="135"/>
    </row>
    <row r="707">
      <c r="E707" s="46"/>
      <c r="F707" s="131"/>
      <c r="H707" s="132"/>
      <c r="I707" s="133"/>
      <c r="J707" s="134"/>
      <c r="K707" s="135"/>
    </row>
    <row r="708">
      <c r="E708" s="46"/>
      <c r="F708" s="131"/>
      <c r="H708" s="132"/>
      <c r="I708" s="133"/>
      <c r="J708" s="134"/>
      <c r="K708" s="135"/>
    </row>
    <row r="709">
      <c r="E709" s="46"/>
      <c r="F709" s="131"/>
      <c r="H709" s="132"/>
      <c r="I709" s="133"/>
      <c r="J709" s="134"/>
      <c r="K709" s="135"/>
    </row>
    <row r="710">
      <c r="E710" s="46"/>
      <c r="F710" s="131"/>
      <c r="H710" s="132"/>
      <c r="I710" s="133"/>
      <c r="J710" s="134"/>
      <c r="K710" s="135"/>
    </row>
    <row r="711">
      <c r="E711" s="46"/>
      <c r="F711" s="131"/>
      <c r="H711" s="132"/>
      <c r="I711" s="133"/>
      <c r="J711" s="134"/>
      <c r="K711" s="135"/>
    </row>
    <row r="712">
      <c r="E712" s="46"/>
      <c r="F712" s="131"/>
      <c r="H712" s="132"/>
      <c r="I712" s="133"/>
      <c r="J712" s="134"/>
      <c r="K712" s="135"/>
    </row>
    <row r="713">
      <c r="E713" s="46"/>
      <c r="F713" s="131"/>
      <c r="H713" s="132"/>
      <c r="I713" s="133"/>
      <c r="J713" s="134"/>
      <c r="K713" s="135"/>
    </row>
    <row r="714">
      <c r="E714" s="46"/>
      <c r="F714" s="131"/>
      <c r="H714" s="132"/>
      <c r="I714" s="133"/>
      <c r="J714" s="134"/>
      <c r="K714" s="135"/>
    </row>
    <row r="715">
      <c r="E715" s="46"/>
      <c r="F715" s="131"/>
      <c r="H715" s="132"/>
      <c r="I715" s="133"/>
      <c r="J715" s="134"/>
      <c r="K715" s="135"/>
    </row>
    <row r="716">
      <c r="E716" s="46"/>
      <c r="F716" s="131"/>
      <c r="H716" s="132"/>
      <c r="I716" s="133"/>
      <c r="J716" s="134"/>
      <c r="K716" s="135"/>
    </row>
    <row r="717">
      <c r="E717" s="46"/>
      <c r="F717" s="131"/>
      <c r="H717" s="132"/>
      <c r="I717" s="133"/>
      <c r="J717" s="134"/>
      <c r="K717" s="135"/>
    </row>
    <row r="718">
      <c r="E718" s="46"/>
      <c r="F718" s="131"/>
      <c r="H718" s="132"/>
      <c r="I718" s="133"/>
      <c r="J718" s="134"/>
      <c r="K718" s="135"/>
    </row>
    <row r="719">
      <c r="E719" s="46"/>
      <c r="F719" s="131"/>
      <c r="H719" s="132"/>
      <c r="I719" s="133"/>
      <c r="J719" s="134"/>
      <c r="K719" s="135"/>
    </row>
    <row r="720">
      <c r="E720" s="46"/>
      <c r="F720" s="131"/>
      <c r="H720" s="132"/>
      <c r="I720" s="133"/>
      <c r="J720" s="134"/>
      <c r="K720" s="135"/>
    </row>
    <row r="721">
      <c r="E721" s="46"/>
      <c r="F721" s="131"/>
      <c r="H721" s="132"/>
      <c r="I721" s="133"/>
      <c r="J721" s="134"/>
      <c r="K721" s="135"/>
    </row>
    <row r="722">
      <c r="E722" s="46"/>
      <c r="F722" s="131"/>
      <c r="H722" s="132"/>
      <c r="I722" s="133"/>
      <c r="J722" s="134"/>
      <c r="K722" s="135"/>
    </row>
    <row r="723">
      <c r="E723" s="46"/>
      <c r="F723" s="131"/>
      <c r="H723" s="132"/>
      <c r="I723" s="133"/>
      <c r="J723" s="134"/>
      <c r="K723" s="135"/>
    </row>
    <row r="724">
      <c r="E724" s="46"/>
      <c r="F724" s="131"/>
      <c r="H724" s="132"/>
      <c r="I724" s="133"/>
      <c r="J724" s="134"/>
      <c r="K724" s="135"/>
    </row>
    <row r="725">
      <c r="E725" s="46"/>
      <c r="F725" s="131"/>
      <c r="H725" s="132"/>
      <c r="I725" s="133"/>
      <c r="J725" s="134"/>
      <c r="K725" s="135"/>
    </row>
    <row r="726">
      <c r="E726" s="46"/>
      <c r="F726" s="131"/>
      <c r="H726" s="132"/>
      <c r="I726" s="133"/>
      <c r="J726" s="134"/>
      <c r="K726" s="135"/>
    </row>
    <row r="727">
      <c r="E727" s="46"/>
      <c r="F727" s="131"/>
      <c r="H727" s="132"/>
      <c r="I727" s="133"/>
      <c r="J727" s="134"/>
      <c r="K727" s="135"/>
    </row>
    <row r="728">
      <c r="E728" s="46"/>
      <c r="F728" s="131"/>
      <c r="H728" s="132"/>
      <c r="I728" s="133"/>
      <c r="J728" s="134"/>
      <c r="K728" s="135"/>
    </row>
    <row r="729">
      <c r="E729" s="46"/>
      <c r="F729" s="131"/>
      <c r="H729" s="132"/>
      <c r="I729" s="133"/>
      <c r="J729" s="134"/>
      <c r="K729" s="135"/>
    </row>
    <row r="730">
      <c r="E730" s="46"/>
      <c r="F730" s="131"/>
      <c r="H730" s="132"/>
      <c r="I730" s="133"/>
      <c r="J730" s="134"/>
      <c r="K730" s="135"/>
    </row>
    <row r="731">
      <c r="E731" s="46"/>
      <c r="F731" s="131"/>
      <c r="H731" s="132"/>
      <c r="I731" s="133"/>
      <c r="J731" s="134"/>
      <c r="K731" s="135"/>
    </row>
    <row r="732">
      <c r="E732" s="46"/>
      <c r="F732" s="131"/>
      <c r="H732" s="132"/>
      <c r="I732" s="133"/>
      <c r="J732" s="134"/>
      <c r="K732" s="135"/>
    </row>
    <row r="733">
      <c r="E733" s="46"/>
      <c r="F733" s="131"/>
      <c r="H733" s="132"/>
      <c r="I733" s="133"/>
      <c r="J733" s="134"/>
      <c r="K733" s="135"/>
    </row>
    <row r="734">
      <c r="E734" s="46"/>
      <c r="F734" s="131"/>
      <c r="H734" s="132"/>
      <c r="I734" s="133"/>
      <c r="J734" s="134"/>
      <c r="K734" s="135"/>
    </row>
    <row r="735">
      <c r="E735" s="46"/>
      <c r="F735" s="131"/>
      <c r="H735" s="132"/>
      <c r="I735" s="133"/>
      <c r="J735" s="134"/>
      <c r="K735" s="135"/>
    </row>
    <row r="736">
      <c r="E736" s="46"/>
      <c r="F736" s="131"/>
      <c r="H736" s="132"/>
      <c r="I736" s="133"/>
      <c r="J736" s="134"/>
      <c r="K736" s="135"/>
    </row>
    <row r="737">
      <c r="E737" s="46"/>
      <c r="F737" s="131"/>
      <c r="H737" s="132"/>
      <c r="I737" s="133"/>
      <c r="J737" s="134"/>
      <c r="K737" s="135"/>
    </row>
    <row r="738">
      <c r="E738" s="46"/>
      <c r="F738" s="131"/>
      <c r="H738" s="132"/>
      <c r="I738" s="133"/>
      <c r="J738" s="134"/>
      <c r="K738" s="135"/>
    </row>
    <row r="739">
      <c r="E739" s="46"/>
      <c r="F739" s="131"/>
      <c r="H739" s="132"/>
      <c r="I739" s="133"/>
      <c r="J739" s="134"/>
      <c r="K739" s="135"/>
    </row>
    <row r="740">
      <c r="E740" s="46"/>
      <c r="F740" s="131"/>
      <c r="H740" s="132"/>
      <c r="I740" s="133"/>
      <c r="J740" s="134"/>
      <c r="K740" s="135"/>
    </row>
    <row r="741">
      <c r="E741" s="46"/>
      <c r="F741" s="131"/>
      <c r="H741" s="132"/>
      <c r="I741" s="133"/>
      <c r="J741" s="134"/>
      <c r="K741" s="135"/>
    </row>
    <row r="742">
      <c r="E742" s="46"/>
      <c r="F742" s="131"/>
      <c r="H742" s="132"/>
      <c r="I742" s="133"/>
      <c r="J742" s="134"/>
      <c r="K742" s="135"/>
    </row>
    <row r="743">
      <c r="E743" s="46"/>
      <c r="F743" s="131"/>
      <c r="H743" s="132"/>
      <c r="I743" s="133"/>
      <c r="J743" s="134"/>
      <c r="K743" s="135"/>
    </row>
    <row r="744">
      <c r="E744" s="46"/>
      <c r="F744" s="131"/>
      <c r="H744" s="132"/>
      <c r="I744" s="133"/>
      <c r="J744" s="134"/>
      <c r="K744" s="135"/>
    </row>
    <row r="745">
      <c r="E745" s="46"/>
      <c r="F745" s="131"/>
      <c r="H745" s="132"/>
      <c r="I745" s="133"/>
      <c r="J745" s="134"/>
      <c r="K745" s="135"/>
    </row>
    <row r="746">
      <c r="E746" s="46"/>
      <c r="F746" s="131"/>
      <c r="H746" s="132"/>
      <c r="I746" s="133"/>
      <c r="J746" s="134"/>
      <c r="K746" s="135"/>
    </row>
    <row r="747">
      <c r="E747" s="46"/>
      <c r="F747" s="131"/>
      <c r="H747" s="132"/>
      <c r="I747" s="133"/>
      <c r="J747" s="134"/>
      <c r="K747" s="135"/>
    </row>
    <row r="748">
      <c r="E748" s="46"/>
      <c r="F748" s="131"/>
      <c r="H748" s="132"/>
      <c r="I748" s="133"/>
      <c r="J748" s="134"/>
      <c r="K748" s="135"/>
    </row>
    <row r="749">
      <c r="E749" s="46"/>
      <c r="F749" s="131"/>
      <c r="H749" s="132"/>
      <c r="I749" s="133"/>
      <c r="J749" s="134"/>
      <c r="K749" s="135"/>
    </row>
    <row r="750">
      <c r="E750" s="46"/>
      <c r="F750" s="131"/>
      <c r="H750" s="132"/>
      <c r="I750" s="133"/>
      <c r="J750" s="134"/>
      <c r="K750" s="135"/>
    </row>
    <row r="751">
      <c r="E751" s="46"/>
      <c r="F751" s="131"/>
      <c r="H751" s="132"/>
      <c r="I751" s="133"/>
      <c r="J751" s="134"/>
      <c r="K751" s="135"/>
    </row>
    <row r="752">
      <c r="E752" s="46"/>
      <c r="F752" s="131"/>
      <c r="H752" s="132"/>
      <c r="I752" s="133"/>
      <c r="J752" s="134"/>
      <c r="K752" s="135"/>
    </row>
    <row r="753">
      <c r="E753" s="46"/>
      <c r="F753" s="131"/>
      <c r="H753" s="132"/>
      <c r="I753" s="133"/>
      <c r="J753" s="134"/>
      <c r="K753" s="135"/>
    </row>
    <row r="754">
      <c r="E754" s="46"/>
      <c r="F754" s="131"/>
      <c r="H754" s="132"/>
      <c r="I754" s="133"/>
      <c r="J754" s="134"/>
      <c r="K754" s="135"/>
    </row>
    <row r="755">
      <c r="E755" s="46"/>
      <c r="F755" s="131"/>
      <c r="H755" s="132"/>
      <c r="I755" s="133"/>
      <c r="J755" s="134"/>
      <c r="K755" s="135"/>
    </row>
    <row r="756">
      <c r="E756" s="46"/>
      <c r="F756" s="131"/>
      <c r="H756" s="132"/>
      <c r="I756" s="133"/>
      <c r="J756" s="134"/>
      <c r="K756" s="135"/>
    </row>
    <row r="757">
      <c r="E757" s="46"/>
      <c r="F757" s="131"/>
      <c r="H757" s="132"/>
      <c r="I757" s="133"/>
      <c r="J757" s="134"/>
      <c r="K757" s="135"/>
    </row>
    <row r="758">
      <c r="E758" s="46"/>
      <c r="F758" s="131"/>
      <c r="H758" s="132"/>
      <c r="I758" s="133"/>
      <c r="J758" s="134"/>
      <c r="K758" s="135"/>
    </row>
    <row r="759">
      <c r="E759" s="46"/>
      <c r="F759" s="131"/>
      <c r="H759" s="132"/>
      <c r="I759" s="133"/>
      <c r="J759" s="134"/>
      <c r="K759" s="135"/>
    </row>
    <row r="760">
      <c r="E760" s="46"/>
      <c r="F760" s="131"/>
      <c r="H760" s="132"/>
      <c r="I760" s="133"/>
      <c r="J760" s="134"/>
      <c r="K760" s="135"/>
    </row>
    <row r="761">
      <c r="E761" s="46"/>
      <c r="F761" s="131"/>
      <c r="H761" s="132"/>
      <c r="I761" s="133"/>
      <c r="J761" s="134"/>
      <c r="K761" s="135"/>
    </row>
    <row r="762">
      <c r="E762" s="46"/>
      <c r="F762" s="131"/>
      <c r="H762" s="132"/>
      <c r="I762" s="133"/>
      <c r="J762" s="134"/>
      <c r="K762" s="135"/>
    </row>
    <row r="763">
      <c r="E763" s="46"/>
      <c r="F763" s="131"/>
      <c r="H763" s="132"/>
      <c r="I763" s="133"/>
      <c r="J763" s="134"/>
      <c r="K763" s="135"/>
    </row>
    <row r="764">
      <c r="E764" s="46"/>
      <c r="F764" s="131"/>
      <c r="H764" s="132"/>
      <c r="I764" s="133"/>
      <c r="J764" s="134"/>
      <c r="K764" s="135"/>
    </row>
    <row r="765">
      <c r="E765" s="46"/>
      <c r="F765" s="131"/>
      <c r="H765" s="132"/>
      <c r="I765" s="133"/>
      <c r="J765" s="134"/>
      <c r="K765" s="135"/>
    </row>
    <row r="766">
      <c r="E766" s="46"/>
      <c r="F766" s="131"/>
      <c r="H766" s="132"/>
      <c r="I766" s="133"/>
      <c r="J766" s="134"/>
      <c r="K766" s="135"/>
    </row>
    <row r="767">
      <c r="E767" s="46"/>
      <c r="F767" s="131"/>
      <c r="H767" s="132"/>
      <c r="I767" s="133"/>
      <c r="J767" s="134"/>
      <c r="K767" s="135"/>
    </row>
    <row r="768">
      <c r="E768" s="46"/>
      <c r="F768" s="131"/>
      <c r="H768" s="132"/>
      <c r="I768" s="133"/>
      <c r="J768" s="134"/>
      <c r="K768" s="135"/>
    </row>
    <row r="769">
      <c r="E769" s="46"/>
      <c r="F769" s="131"/>
      <c r="H769" s="132"/>
      <c r="I769" s="133"/>
      <c r="J769" s="134"/>
      <c r="K769" s="135"/>
    </row>
    <row r="770">
      <c r="E770" s="46"/>
      <c r="F770" s="131"/>
      <c r="H770" s="132"/>
      <c r="I770" s="133"/>
      <c r="J770" s="134"/>
      <c r="K770" s="135"/>
    </row>
    <row r="771">
      <c r="E771" s="46"/>
      <c r="F771" s="131"/>
      <c r="H771" s="132"/>
      <c r="I771" s="133"/>
      <c r="J771" s="134"/>
      <c r="K771" s="135"/>
    </row>
    <row r="772">
      <c r="E772" s="46"/>
      <c r="F772" s="131"/>
      <c r="H772" s="132"/>
      <c r="I772" s="133"/>
      <c r="J772" s="134"/>
      <c r="K772" s="135"/>
    </row>
    <row r="773">
      <c r="E773" s="46"/>
      <c r="F773" s="131"/>
      <c r="H773" s="132"/>
      <c r="I773" s="133"/>
      <c r="J773" s="134"/>
      <c r="K773" s="135"/>
    </row>
    <row r="774">
      <c r="E774" s="46"/>
      <c r="F774" s="131"/>
      <c r="H774" s="132"/>
      <c r="I774" s="133"/>
      <c r="J774" s="134"/>
      <c r="K774" s="135"/>
    </row>
    <row r="775">
      <c r="E775" s="46"/>
      <c r="F775" s="131"/>
      <c r="H775" s="132"/>
      <c r="I775" s="133"/>
      <c r="J775" s="134"/>
      <c r="K775" s="135"/>
    </row>
    <row r="776">
      <c r="E776" s="46"/>
      <c r="F776" s="131"/>
      <c r="H776" s="132"/>
      <c r="I776" s="133"/>
      <c r="J776" s="134"/>
      <c r="K776" s="135"/>
    </row>
    <row r="777">
      <c r="E777" s="46"/>
      <c r="F777" s="131"/>
      <c r="H777" s="132"/>
      <c r="I777" s="133"/>
      <c r="J777" s="134"/>
      <c r="K777" s="135"/>
    </row>
    <row r="778">
      <c r="E778" s="46"/>
      <c r="F778" s="131"/>
      <c r="H778" s="132"/>
      <c r="I778" s="133"/>
      <c r="J778" s="134"/>
      <c r="K778" s="135"/>
    </row>
    <row r="779">
      <c r="E779" s="46"/>
      <c r="F779" s="131"/>
      <c r="H779" s="132"/>
      <c r="I779" s="133"/>
      <c r="J779" s="134"/>
      <c r="K779" s="135"/>
    </row>
    <row r="780">
      <c r="E780" s="46"/>
      <c r="F780" s="131"/>
      <c r="H780" s="132"/>
      <c r="I780" s="133"/>
      <c r="J780" s="134"/>
      <c r="K780" s="135"/>
    </row>
    <row r="781">
      <c r="E781" s="46"/>
      <c r="F781" s="131"/>
      <c r="H781" s="132"/>
      <c r="I781" s="133"/>
      <c r="J781" s="134"/>
      <c r="K781" s="135"/>
    </row>
    <row r="782">
      <c r="E782" s="46"/>
      <c r="F782" s="131"/>
      <c r="H782" s="132"/>
      <c r="I782" s="133"/>
      <c r="J782" s="134"/>
      <c r="K782" s="135"/>
    </row>
    <row r="783">
      <c r="E783" s="46"/>
      <c r="F783" s="131"/>
      <c r="H783" s="132"/>
      <c r="I783" s="133"/>
      <c r="J783" s="134"/>
      <c r="K783" s="135"/>
    </row>
    <row r="784">
      <c r="E784" s="46"/>
      <c r="F784" s="131"/>
      <c r="H784" s="132"/>
      <c r="I784" s="133"/>
      <c r="J784" s="134"/>
      <c r="K784" s="135"/>
    </row>
    <row r="785">
      <c r="E785" s="46"/>
      <c r="F785" s="131"/>
      <c r="H785" s="132"/>
      <c r="I785" s="133"/>
      <c r="J785" s="134"/>
      <c r="K785" s="135"/>
    </row>
    <row r="786">
      <c r="E786" s="46"/>
      <c r="F786" s="131"/>
      <c r="H786" s="132"/>
      <c r="I786" s="133"/>
      <c r="J786" s="134"/>
      <c r="K786" s="135"/>
    </row>
    <row r="787">
      <c r="E787" s="46"/>
      <c r="F787" s="131"/>
      <c r="H787" s="132"/>
      <c r="I787" s="133"/>
      <c r="J787" s="134"/>
      <c r="K787" s="135"/>
    </row>
    <row r="788">
      <c r="E788" s="46"/>
      <c r="F788" s="131"/>
      <c r="H788" s="132"/>
      <c r="I788" s="133"/>
      <c r="J788" s="134"/>
      <c r="K788" s="135"/>
    </row>
    <row r="789">
      <c r="E789" s="46"/>
      <c r="F789" s="131"/>
      <c r="H789" s="132"/>
      <c r="I789" s="133"/>
      <c r="J789" s="134"/>
      <c r="K789" s="135"/>
    </row>
    <row r="790">
      <c r="E790" s="46"/>
      <c r="F790" s="131"/>
      <c r="H790" s="132"/>
      <c r="I790" s="133"/>
      <c r="J790" s="134"/>
      <c r="K790" s="135"/>
    </row>
    <row r="791">
      <c r="E791" s="46"/>
      <c r="F791" s="131"/>
      <c r="H791" s="132"/>
      <c r="I791" s="133"/>
      <c r="J791" s="134"/>
      <c r="K791" s="135"/>
    </row>
    <row r="792">
      <c r="E792" s="46"/>
      <c r="F792" s="131"/>
      <c r="H792" s="132"/>
      <c r="I792" s="133"/>
      <c r="J792" s="134"/>
      <c r="K792" s="135"/>
    </row>
    <row r="793">
      <c r="E793" s="46"/>
      <c r="F793" s="131"/>
      <c r="H793" s="132"/>
      <c r="I793" s="133"/>
      <c r="J793" s="134"/>
      <c r="K793" s="135"/>
    </row>
    <row r="794">
      <c r="E794" s="46"/>
      <c r="F794" s="131"/>
      <c r="H794" s="132"/>
      <c r="I794" s="133"/>
      <c r="J794" s="134"/>
      <c r="K794" s="135"/>
    </row>
    <row r="795">
      <c r="E795" s="46"/>
      <c r="F795" s="131"/>
      <c r="H795" s="132"/>
      <c r="I795" s="133"/>
      <c r="J795" s="134"/>
      <c r="K795" s="135"/>
    </row>
    <row r="796">
      <c r="E796" s="46"/>
      <c r="F796" s="131"/>
      <c r="H796" s="132"/>
      <c r="I796" s="133"/>
      <c r="J796" s="134"/>
      <c r="K796" s="135"/>
    </row>
    <row r="797">
      <c r="E797" s="46"/>
      <c r="F797" s="131"/>
      <c r="H797" s="132"/>
      <c r="I797" s="133"/>
      <c r="J797" s="134"/>
      <c r="K797" s="135"/>
    </row>
    <row r="798">
      <c r="E798" s="46"/>
      <c r="F798" s="131"/>
      <c r="H798" s="132"/>
      <c r="I798" s="133"/>
      <c r="J798" s="134"/>
      <c r="K798" s="135"/>
    </row>
    <row r="799">
      <c r="E799" s="46"/>
      <c r="F799" s="131"/>
      <c r="H799" s="132"/>
      <c r="I799" s="133"/>
      <c r="J799" s="134"/>
      <c r="K799" s="135"/>
    </row>
    <row r="800">
      <c r="E800" s="46"/>
      <c r="F800" s="131"/>
      <c r="H800" s="132"/>
      <c r="I800" s="133"/>
      <c r="J800" s="134"/>
      <c r="K800" s="135"/>
    </row>
  </sheetData>
  <autoFilter ref="$D$1:$D$800"/>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63.5"/>
    <col customWidth="1" min="3" max="3" width="66.25"/>
    <col customWidth="1" min="4" max="4" width="70.88"/>
  </cols>
  <sheetData>
    <row r="1">
      <c r="A1" s="11"/>
      <c r="B1" s="14" t="s">
        <v>9</v>
      </c>
      <c r="C1" s="16"/>
      <c r="D1" s="17"/>
      <c r="E1" s="19"/>
      <c r="F1" s="19"/>
      <c r="G1" s="19"/>
      <c r="H1" s="19"/>
      <c r="I1" s="19"/>
      <c r="J1" s="19"/>
      <c r="K1" s="19"/>
      <c r="L1" s="19"/>
      <c r="M1" s="19"/>
      <c r="N1" s="19"/>
      <c r="O1" s="19"/>
      <c r="P1" s="19"/>
      <c r="Q1" s="19"/>
      <c r="R1" s="19"/>
      <c r="S1" s="19"/>
      <c r="T1" s="19"/>
      <c r="U1" s="19"/>
      <c r="V1" s="19"/>
      <c r="W1" s="19"/>
      <c r="X1" s="19"/>
      <c r="Y1" s="19"/>
      <c r="Z1" s="19"/>
      <c r="AA1" s="19"/>
    </row>
    <row r="2">
      <c r="A2" s="21"/>
      <c r="B2" s="23" t="s">
        <v>17</v>
      </c>
      <c r="C2" s="35" t="s">
        <v>29</v>
      </c>
      <c r="D2" s="40" t="s">
        <v>42</v>
      </c>
      <c r="E2" s="19"/>
      <c r="F2" s="19"/>
      <c r="G2" s="19"/>
      <c r="H2" s="19"/>
      <c r="I2" s="19"/>
      <c r="J2" s="19"/>
      <c r="K2" s="19"/>
      <c r="L2" s="19"/>
      <c r="M2" s="19"/>
      <c r="N2" s="19"/>
      <c r="O2" s="19"/>
      <c r="P2" s="19"/>
      <c r="Q2" s="19"/>
      <c r="R2" s="19"/>
      <c r="S2" s="19"/>
      <c r="T2" s="19"/>
      <c r="U2" s="19"/>
      <c r="V2" s="19"/>
      <c r="W2" s="19"/>
      <c r="X2" s="19"/>
      <c r="Y2" s="19"/>
      <c r="Z2" s="19"/>
      <c r="AA2" s="19"/>
    </row>
    <row r="3">
      <c r="A3" s="21"/>
      <c r="B3" s="44"/>
      <c r="C3" s="49" t="s">
        <v>69</v>
      </c>
      <c r="D3" s="52" t="s">
        <v>81</v>
      </c>
      <c r="E3" s="19"/>
      <c r="F3" s="19"/>
      <c r="G3" s="19"/>
      <c r="H3" s="19"/>
      <c r="I3" s="19"/>
      <c r="J3" s="19"/>
      <c r="K3" s="19"/>
      <c r="L3" s="19"/>
      <c r="M3" s="19"/>
      <c r="N3" s="19"/>
      <c r="O3" s="19"/>
      <c r="P3" s="19"/>
      <c r="Q3" s="19"/>
      <c r="R3" s="19"/>
      <c r="S3" s="19"/>
      <c r="T3" s="19"/>
      <c r="U3" s="19"/>
      <c r="V3" s="19"/>
      <c r="W3" s="19"/>
      <c r="X3" s="19"/>
      <c r="Y3" s="19"/>
      <c r="Z3" s="19"/>
      <c r="AA3" s="19"/>
    </row>
    <row r="4">
      <c r="A4" s="21"/>
      <c r="B4" s="53"/>
      <c r="C4" s="54" t="s">
        <v>95</v>
      </c>
      <c r="D4" s="55" t="s">
        <v>108</v>
      </c>
      <c r="E4" s="19"/>
      <c r="F4" s="19"/>
      <c r="G4" s="19"/>
      <c r="H4" s="19"/>
      <c r="I4" s="19"/>
      <c r="J4" s="19"/>
      <c r="K4" s="19"/>
      <c r="L4" s="19"/>
      <c r="M4" s="19"/>
      <c r="N4" s="19"/>
      <c r="O4" s="19"/>
      <c r="P4" s="19"/>
      <c r="Q4" s="19"/>
      <c r="R4" s="19"/>
      <c r="S4" s="19"/>
      <c r="T4" s="19"/>
      <c r="U4" s="19"/>
      <c r="V4" s="19"/>
      <c r="W4" s="19"/>
      <c r="X4" s="19"/>
      <c r="Y4" s="19"/>
      <c r="Z4" s="19"/>
      <c r="AA4" s="19"/>
    </row>
    <row r="5">
      <c r="A5" s="21"/>
      <c r="B5" s="57" t="s">
        <v>127</v>
      </c>
      <c r="C5" s="60" t="s">
        <v>29</v>
      </c>
      <c r="D5" s="65" t="s">
        <v>42</v>
      </c>
      <c r="E5" s="19"/>
      <c r="F5" s="19"/>
      <c r="G5" s="19"/>
      <c r="H5" s="19"/>
      <c r="I5" s="19"/>
      <c r="J5" s="19"/>
      <c r="K5" s="19"/>
      <c r="L5" s="19"/>
      <c r="M5" s="19"/>
      <c r="N5" s="19"/>
      <c r="O5" s="19"/>
      <c r="P5" s="19"/>
      <c r="Q5" s="19"/>
      <c r="R5" s="19"/>
      <c r="S5" s="19"/>
      <c r="T5" s="19"/>
      <c r="U5" s="19"/>
      <c r="V5" s="19"/>
      <c r="W5" s="19"/>
      <c r="X5" s="19"/>
      <c r="Y5" s="19"/>
      <c r="Z5" s="19"/>
      <c r="AA5" s="19"/>
    </row>
    <row r="6">
      <c r="A6" s="21"/>
      <c r="B6" s="44"/>
      <c r="C6" s="69" t="s">
        <v>169</v>
      </c>
      <c r="D6" s="70" t="s">
        <v>81</v>
      </c>
      <c r="E6" s="19"/>
      <c r="F6" s="19"/>
      <c r="G6" s="19"/>
      <c r="H6" s="19"/>
      <c r="I6" s="19"/>
      <c r="J6" s="19"/>
      <c r="K6" s="19"/>
      <c r="L6" s="19"/>
      <c r="M6" s="19"/>
      <c r="N6" s="19"/>
      <c r="O6" s="19"/>
      <c r="P6" s="19"/>
      <c r="Q6" s="19"/>
      <c r="R6" s="19"/>
      <c r="S6" s="19"/>
      <c r="T6" s="19"/>
      <c r="U6" s="19"/>
      <c r="V6" s="19"/>
      <c r="W6" s="19"/>
      <c r="X6" s="19"/>
      <c r="Y6" s="19"/>
      <c r="Z6" s="19"/>
      <c r="AA6" s="19"/>
    </row>
    <row r="7">
      <c r="A7" s="21"/>
      <c r="B7" s="53"/>
      <c r="C7" s="71" t="s">
        <v>198</v>
      </c>
      <c r="D7" s="73" t="s">
        <v>108</v>
      </c>
      <c r="E7" s="19"/>
      <c r="F7" s="19"/>
      <c r="G7" s="19"/>
      <c r="H7" s="19"/>
      <c r="I7" s="19"/>
      <c r="J7" s="19"/>
      <c r="K7" s="19"/>
      <c r="L7" s="19"/>
      <c r="M7" s="19"/>
      <c r="N7" s="19"/>
      <c r="O7" s="19"/>
      <c r="P7" s="19"/>
      <c r="Q7" s="19"/>
      <c r="R7" s="19"/>
      <c r="S7" s="19"/>
      <c r="T7" s="19"/>
      <c r="U7" s="19"/>
      <c r="V7" s="19"/>
      <c r="W7" s="19"/>
      <c r="X7" s="19"/>
      <c r="Y7" s="19"/>
      <c r="Z7" s="19"/>
      <c r="AA7" s="19"/>
    </row>
    <row r="8">
      <c r="A8" s="21"/>
      <c r="B8" s="74" t="s">
        <v>220</v>
      </c>
      <c r="C8" s="75" t="s">
        <v>29</v>
      </c>
      <c r="D8" s="76" t="s">
        <v>42</v>
      </c>
      <c r="E8" s="19"/>
      <c r="F8" s="19"/>
      <c r="G8" s="19"/>
      <c r="H8" s="19"/>
      <c r="I8" s="19"/>
      <c r="J8" s="19"/>
      <c r="K8" s="19"/>
      <c r="L8" s="19"/>
      <c r="M8" s="19"/>
      <c r="N8" s="19"/>
      <c r="O8" s="19"/>
      <c r="P8" s="19"/>
      <c r="Q8" s="19"/>
      <c r="R8" s="19"/>
      <c r="S8" s="19"/>
      <c r="T8" s="19"/>
      <c r="U8" s="19"/>
      <c r="V8" s="19"/>
      <c r="W8" s="19"/>
      <c r="X8" s="19"/>
      <c r="Y8" s="19"/>
      <c r="Z8" s="19"/>
      <c r="AA8" s="19"/>
    </row>
    <row r="9">
      <c r="A9" s="21"/>
      <c r="B9" s="44"/>
      <c r="C9" s="77" t="s">
        <v>282</v>
      </c>
      <c r="D9" s="78" t="s">
        <v>81</v>
      </c>
      <c r="E9" s="19"/>
      <c r="F9" s="19"/>
      <c r="G9" s="19"/>
      <c r="H9" s="19"/>
      <c r="I9" s="19"/>
      <c r="J9" s="19"/>
      <c r="K9" s="19"/>
      <c r="L9" s="19"/>
      <c r="M9" s="19"/>
      <c r="N9" s="19"/>
      <c r="O9" s="19"/>
      <c r="P9" s="19"/>
      <c r="Q9" s="19"/>
      <c r="R9" s="19"/>
      <c r="S9" s="19"/>
      <c r="T9" s="19"/>
      <c r="U9" s="19"/>
      <c r="V9" s="19"/>
      <c r="W9" s="19"/>
      <c r="X9" s="19"/>
      <c r="Y9" s="19"/>
      <c r="Z9" s="19"/>
      <c r="AA9" s="19"/>
    </row>
    <row r="10">
      <c r="A10" s="21"/>
      <c r="B10" s="53"/>
      <c r="C10" s="79" t="s">
        <v>337</v>
      </c>
      <c r="D10" s="81" t="s">
        <v>108</v>
      </c>
      <c r="E10" s="19"/>
      <c r="F10" s="19"/>
      <c r="G10" s="19"/>
      <c r="H10" s="19"/>
      <c r="I10" s="19"/>
      <c r="J10" s="19"/>
      <c r="K10" s="19"/>
      <c r="L10" s="19"/>
      <c r="M10" s="19"/>
      <c r="N10" s="19"/>
      <c r="O10" s="19"/>
      <c r="P10" s="19"/>
      <c r="Q10" s="19"/>
      <c r="R10" s="19"/>
      <c r="S10" s="19"/>
      <c r="T10" s="19"/>
      <c r="U10" s="19"/>
      <c r="V10" s="19"/>
      <c r="W10" s="19"/>
      <c r="X10" s="19"/>
      <c r="Y10" s="19"/>
      <c r="Z10" s="19"/>
      <c r="AA10" s="19"/>
    </row>
    <row r="11">
      <c r="A11" s="21"/>
      <c r="B11" s="85" t="s">
        <v>369</v>
      </c>
      <c r="C11" s="86" t="s">
        <v>29</v>
      </c>
      <c r="D11" s="87" t="s">
        <v>42</v>
      </c>
      <c r="E11" s="19"/>
      <c r="F11" s="19"/>
      <c r="G11" s="19"/>
      <c r="H11" s="19"/>
      <c r="I11" s="19"/>
      <c r="J11" s="19"/>
      <c r="K11" s="19"/>
      <c r="L11" s="19"/>
      <c r="M11" s="19"/>
      <c r="N11" s="19"/>
      <c r="O11" s="19"/>
      <c r="P11" s="19"/>
      <c r="Q11" s="19"/>
      <c r="R11" s="19"/>
      <c r="S11" s="19"/>
      <c r="T11" s="19"/>
      <c r="U11" s="19"/>
      <c r="V11" s="19"/>
      <c r="W11" s="19"/>
      <c r="X11" s="19"/>
      <c r="Y11" s="19"/>
      <c r="Z11" s="19"/>
      <c r="AA11" s="19"/>
    </row>
    <row r="12">
      <c r="A12" s="21"/>
      <c r="B12" s="44"/>
      <c r="C12" s="88" t="s">
        <v>459</v>
      </c>
      <c r="D12" s="89" t="s">
        <v>81</v>
      </c>
      <c r="E12" s="19"/>
      <c r="F12" s="19"/>
      <c r="G12" s="19"/>
      <c r="H12" s="19"/>
      <c r="I12" s="19"/>
      <c r="J12" s="19"/>
      <c r="K12" s="19"/>
      <c r="L12" s="19"/>
      <c r="M12" s="19"/>
      <c r="N12" s="19"/>
      <c r="O12" s="19"/>
      <c r="P12" s="19"/>
      <c r="Q12" s="19"/>
      <c r="R12" s="19"/>
      <c r="S12" s="19"/>
      <c r="T12" s="19"/>
      <c r="U12" s="19"/>
      <c r="V12" s="19"/>
      <c r="W12" s="19"/>
      <c r="X12" s="19"/>
      <c r="Y12" s="19"/>
      <c r="Z12" s="19"/>
      <c r="AA12" s="19"/>
    </row>
    <row r="13">
      <c r="A13" s="21"/>
      <c r="B13" s="53"/>
      <c r="C13" s="90" t="s">
        <v>508</v>
      </c>
      <c r="D13" s="91" t="s">
        <v>108</v>
      </c>
      <c r="E13" s="19"/>
      <c r="F13" s="19"/>
      <c r="G13" s="19"/>
      <c r="H13" s="19"/>
      <c r="I13" s="19"/>
      <c r="J13" s="19"/>
      <c r="K13" s="19"/>
      <c r="L13" s="19"/>
      <c r="M13" s="19"/>
      <c r="N13" s="19"/>
      <c r="O13" s="19"/>
      <c r="P13" s="19"/>
      <c r="Q13" s="19"/>
      <c r="R13" s="19"/>
      <c r="S13" s="19"/>
      <c r="T13" s="19"/>
      <c r="U13" s="19"/>
      <c r="V13" s="19"/>
      <c r="W13" s="19"/>
      <c r="X13" s="19"/>
      <c r="Y13" s="19"/>
      <c r="Z13" s="19"/>
      <c r="AA13" s="19"/>
    </row>
    <row r="14">
      <c r="A14" s="92"/>
      <c r="B14" s="93"/>
      <c r="C14" s="94"/>
      <c r="D14" s="95"/>
      <c r="E14" s="19"/>
      <c r="F14" s="19"/>
      <c r="G14" s="19"/>
      <c r="H14" s="19"/>
      <c r="I14" s="19"/>
      <c r="J14" s="19"/>
      <c r="K14" s="19"/>
      <c r="L14" s="19"/>
      <c r="M14" s="19"/>
      <c r="N14" s="19"/>
      <c r="O14" s="19"/>
      <c r="P14" s="19"/>
      <c r="Q14" s="19"/>
      <c r="R14" s="19"/>
      <c r="S14" s="19"/>
      <c r="T14" s="19"/>
      <c r="U14" s="19"/>
      <c r="V14" s="19"/>
      <c r="W14" s="19"/>
      <c r="X14" s="19"/>
      <c r="Y14" s="19"/>
      <c r="Z14" s="19"/>
      <c r="AA14" s="19"/>
    </row>
    <row r="15">
      <c r="A15" s="97"/>
      <c r="B15" s="98" t="s">
        <v>564</v>
      </c>
      <c r="C15" s="99" t="s">
        <v>568</v>
      </c>
      <c r="D15" s="100" t="s">
        <v>571</v>
      </c>
      <c r="E15" s="19"/>
      <c r="F15" s="19"/>
      <c r="G15" s="19"/>
      <c r="H15" s="19"/>
      <c r="I15" s="19"/>
      <c r="J15" s="19"/>
      <c r="K15" s="19"/>
      <c r="L15" s="19"/>
      <c r="M15" s="19"/>
      <c r="N15" s="19"/>
      <c r="O15" s="19"/>
      <c r="P15" s="19"/>
      <c r="Q15" s="19"/>
      <c r="R15" s="19"/>
      <c r="S15" s="19"/>
      <c r="T15" s="19"/>
      <c r="U15" s="19"/>
      <c r="V15" s="19"/>
      <c r="W15" s="19"/>
      <c r="X15" s="19"/>
      <c r="Y15" s="19"/>
      <c r="Z15" s="19"/>
      <c r="AA15" s="19"/>
    </row>
    <row r="16" ht="27.75" customHeight="1">
      <c r="A16" s="102"/>
      <c r="B16" s="103" t="s">
        <v>581</v>
      </c>
      <c r="C16" s="109" t="s">
        <v>591</v>
      </c>
      <c r="D16" s="115" t="s">
        <v>609</v>
      </c>
      <c r="E16" s="19"/>
      <c r="F16" s="19"/>
      <c r="G16" s="19"/>
      <c r="H16" s="19"/>
      <c r="I16" s="19"/>
      <c r="J16" s="19"/>
      <c r="K16" s="19"/>
      <c r="L16" s="19"/>
      <c r="M16" s="19"/>
      <c r="N16" s="19"/>
      <c r="O16" s="19"/>
      <c r="P16" s="19"/>
      <c r="Q16" s="19"/>
      <c r="R16" s="19"/>
      <c r="S16" s="19"/>
      <c r="T16" s="19"/>
      <c r="U16" s="19"/>
      <c r="V16" s="19"/>
      <c r="W16" s="19"/>
      <c r="X16" s="19"/>
      <c r="Y16" s="19"/>
      <c r="Z16" s="19"/>
      <c r="AA16" s="19"/>
    </row>
    <row r="17" ht="24.0" customHeight="1">
      <c r="A17" s="120"/>
      <c r="B17" s="121" t="s">
        <v>629</v>
      </c>
      <c r="C17" s="109" t="s">
        <v>634</v>
      </c>
      <c r="D17" s="122" t="s">
        <v>636</v>
      </c>
      <c r="E17" s="19"/>
      <c r="F17" s="19"/>
      <c r="G17" s="19"/>
      <c r="H17" s="19"/>
      <c r="I17" s="19"/>
      <c r="J17" s="19"/>
      <c r="K17" s="19"/>
      <c r="L17" s="19"/>
      <c r="M17" s="19"/>
      <c r="N17" s="19"/>
      <c r="O17" s="19"/>
      <c r="P17" s="19"/>
      <c r="Q17" s="19"/>
      <c r="R17" s="19"/>
      <c r="S17" s="19"/>
      <c r="T17" s="19"/>
      <c r="U17" s="19"/>
      <c r="V17" s="19"/>
      <c r="W17" s="19"/>
      <c r="X17" s="19"/>
      <c r="Y17" s="19"/>
      <c r="Z17" s="19"/>
      <c r="AA17" s="19"/>
    </row>
    <row r="18">
      <c r="A18" s="102"/>
      <c r="B18" s="103" t="s">
        <v>641</v>
      </c>
      <c r="C18" s="123" t="s">
        <v>643</v>
      </c>
      <c r="D18" s="115" t="s">
        <v>647</v>
      </c>
      <c r="E18" s="19"/>
      <c r="F18" s="19"/>
      <c r="G18" s="19"/>
      <c r="H18" s="19"/>
      <c r="I18" s="19"/>
      <c r="J18" s="19"/>
      <c r="K18" s="19"/>
      <c r="L18" s="19"/>
      <c r="M18" s="19"/>
      <c r="N18" s="19"/>
      <c r="O18" s="19"/>
      <c r="P18" s="19"/>
      <c r="Q18" s="19"/>
      <c r="R18" s="19"/>
      <c r="S18" s="19"/>
      <c r="T18" s="19"/>
      <c r="U18" s="19"/>
      <c r="V18" s="19"/>
      <c r="W18" s="19"/>
      <c r="X18" s="19"/>
      <c r="Y18" s="19"/>
      <c r="Z18" s="19"/>
      <c r="AA18" s="19"/>
    </row>
    <row r="19">
      <c r="A19" s="102"/>
      <c r="B19" s="103" t="s">
        <v>648</v>
      </c>
      <c r="C19" s="123" t="s">
        <v>649</v>
      </c>
      <c r="D19" s="129" t="s">
        <v>650</v>
      </c>
      <c r="E19" s="19"/>
      <c r="F19" s="19"/>
      <c r="G19" s="19"/>
      <c r="H19" s="19"/>
      <c r="I19" s="19"/>
      <c r="J19" s="19"/>
      <c r="K19" s="19"/>
      <c r="L19" s="19"/>
      <c r="M19" s="19"/>
      <c r="N19" s="19"/>
      <c r="O19" s="19"/>
      <c r="P19" s="19"/>
      <c r="Q19" s="19"/>
      <c r="R19" s="19"/>
      <c r="S19" s="19"/>
      <c r="T19" s="19"/>
      <c r="U19" s="19"/>
      <c r="V19" s="19"/>
      <c r="W19" s="19"/>
      <c r="X19" s="19"/>
      <c r="Y19" s="19"/>
      <c r="Z19" s="19"/>
      <c r="AA19" s="19"/>
    </row>
    <row r="20">
      <c r="A20" s="102"/>
      <c r="B20" s="103" t="s">
        <v>651</v>
      </c>
      <c r="C20" s="123" t="s">
        <v>652</v>
      </c>
      <c r="D20" s="130" t="s">
        <v>653</v>
      </c>
      <c r="E20" s="19"/>
      <c r="F20" s="19"/>
      <c r="G20" s="19"/>
      <c r="H20" s="19"/>
      <c r="I20" s="19"/>
      <c r="J20" s="19"/>
      <c r="K20" s="19"/>
      <c r="L20" s="19"/>
      <c r="M20" s="19"/>
      <c r="N20" s="19"/>
      <c r="O20" s="19"/>
      <c r="P20" s="19"/>
      <c r="Q20" s="19"/>
      <c r="R20" s="19"/>
      <c r="S20" s="19"/>
      <c r="T20" s="19"/>
      <c r="U20" s="19"/>
      <c r="V20" s="19"/>
      <c r="W20" s="19"/>
      <c r="X20" s="19"/>
      <c r="Y20" s="19"/>
      <c r="Z20" s="19"/>
      <c r="AA20" s="19"/>
    </row>
    <row r="21">
      <c r="A21" s="102"/>
      <c r="B21" s="103" t="s">
        <v>654</v>
      </c>
      <c r="C21" s="136" t="s">
        <v>655</v>
      </c>
      <c r="D21" s="130" t="s">
        <v>656</v>
      </c>
      <c r="E21" s="19"/>
      <c r="F21" s="19"/>
      <c r="G21" s="19"/>
      <c r="H21" s="19"/>
      <c r="I21" s="19"/>
      <c r="J21" s="19"/>
      <c r="K21" s="19"/>
      <c r="L21" s="19"/>
      <c r="M21" s="19"/>
      <c r="N21" s="19"/>
      <c r="O21" s="19"/>
      <c r="P21" s="19"/>
      <c r="Q21" s="19"/>
      <c r="R21" s="19"/>
      <c r="S21" s="19"/>
      <c r="T21" s="19"/>
      <c r="U21" s="19"/>
      <c r="V21" s="19"/>
      <c r="W21" s="19"/>
      <c r="X21" s="19"/>
      <c r="Y21" s="19"/>
      <c r="Z21" s="19"/>
      <c r="AA21" s="19"/>
    </row>
    <row r="22">
      <c r="A22" s="102"/>
      <c r="B22" s="103" t="s">
        <v>657</v>
      </c>
      <c r="C22" s="137" t="s">
        <v>658</v>
      </c>
      <c r="D22" s="130" t="s">
        <v>659</v>
      </c>
      <c r="E22" s="19"/>
      <c r="F22" s="19"/>
      <c r="G22" s="19"/>
      <c r="H22" s="19"/>
      <c r="I22" s="19"/>
      <c r="J22" s="19"/>
      <c r="K22" s="19"/>
      <c r="L22" s="19"/>
      <c r="M22" s="19"/>
      <c r="N22" s="19"/>
      <c r="O22" s="19"/>
      <c r="P22" s="19"/>
      <c r="Q22" s="19"/>
      <c r="R22" s="19"/>
      <c r="S22" s="19"/>
      <c r="T22" s="19"/>
      <c r="U22" s="19"/>
      <c r="V22" s="19"/>
      <c r="W22" s="19"/>
      <c r="X22" s="19"/>
      <c r="Y22" s="19"/>
      <c r="Z22" s="19"/>
      <c r="AA22" s="19"/>
    </row>
    <row r="23">
      <c r="A23" s="102"/>
      <c r="B23" s="103" t="s">
        <v>660</v>
      </c>
      <c r="C23" s="138" t="s">
        <v>661</v>
      </c>
      <c r="D23" s="139" t="s">
        <v>662</v>
      </c>
      <c r="E23" s="19"/>
      <c r="F23" s="19"/>
      <c r="G23" s="19"/>
      <c r="H23" s="19"/>
      <c r="I23" s="19"/>
      <c r="J23" s="19"/>
      <c r="K23" s="19"/>
      <c r="L23" s="19"/>
      <c r="M23" s="19"/>
      <c r="N23" s="19"/>
      <c r="O23" s="19"/>
      <c r="P23" s="19"/>
      <c r="Q23" s="19"/>
      <c r="R23" s="19"/>
      <c r="S23" s="19"/>
      <c r="T23" s="19"/>
      <c r="U23" s="19"/>
      <c r="V23" s="19"/>
      <c r="W23" s="19"/>
      <c r="X23" s="19"/>
      <c r="Y23" s="19"/>
      <c r="Z23" s="19"/>
      <c r="AA23" s="19"/>
    </row>
    <row r="24">
      <c r="A24" s="102"/>
      <c r="B24" s="140" t="s">
        <v>663</v>
      </c>
      <c r="C24" s="141" t="s">
        <v>664</v>
      </c>
      <c r="D24" s="142" t="s">
        <v>665</v>
      </c>
      <c r="E24" s="19"/>
      <c r="F24" s="19"/>
      <c r="G24" s="19"/>
      <c r="H24" s="19"/>
      <c r="I24" s="19"/>
      <c r="J24" s="19"/>
      <c r="K24" s="19"/>
      <c r="L24" s="19"/>
      <c r="M24" s="19"/>
      <c r="N24" s="19"/>
      <c r="O24" s="19"/>
      <c r="P24" s="19"/>
      <c r="Q24" s="19"/>
      <c r="R24" s="19"/>
      <c r="S24" s="19"/>
      <c r="T24" s="19"/>
      <c r="U24" s="19"/>
      <c r="V24" s="19"/>
      <c r="W24" s="19"/>
      <c r="X24" s="19"/>
      <c r="Y24" s="19"/>
      <c r="Z24" s="19"/>
      <c r="AA24" s="19"/>
    </row>
    <row r="25">
      <c r="A25" s="143"/>
      <c r="B25" s="144" t="s">
        <v>666</v>
      </c>
      <c r="C25" s="145" t="s">
        <v>667</v>
      </c>
      <c r="D25" s="146" t="s">
        <v>668</v>
      </c>
      <c r="E25" s="19"/>
      <c r="F25" s="19"/>
      <c r="G25" s="19"/>
      <c r="H25" s="19"/>
      <c r="I25" s="19"/>
      <c r="J25" s="19"/>
      <c r="K25" s="19"/>
      <c r="L25" s="19"/>
      <c r="M25" s="19"/>
      <c r="N25" s="19"/>
      <c r="O25" s="19"/>
      <c r="P25" s="19"/>
      <c r="Q25" s="19"/>
      <c r="R25" s="19"/>
      <c r="S25" s="19"/>
      <c r="T25" s="19"/>
      <c r="U25" s="19"/>
      <c r="V25" s="19"/>
      <c r="W25" s="19"/>
      <c r="X25" s="19"/>
      <c r="Y25" s="19"/>
      <c r="Z25" s="19"/>
      <c r="AA25" s="19"/>
    </row>
    <row r="26">
      <c r="A26" s="102"/>
      <c r="B26" s="147" t="s">
        <v>669</v>
      </c>
      <c r="C26" s="148" t="s">
        <v>670</v>
      </c>
      <c r="D26" s="149" t="s">
        <v>671</v>
      </c>
      <c r="E26" s="19"/>
      <c r="F26" s="19"/>
      <c r="G26" s="19"/>
      <c r="H26" s="19"/>
      <c r="I26" s="19"/>
      <c r="J26" s="19"/>
      <c r="K26" s="19"/>
      <c r="L26" s="19"/>
      <c r="M26" s="19"/>
      <c r="N26" s="19"/>
      <c r="O26" s="19"/>
      <c r="P26" s="19"/>
      <c r="Q26" s="19"/>
      <c r="R26" s="19"/>
      <c r="S26" s="19"/>
      <c r="T26" s="19"/>
      <c r="U26" s="19"/>
      <c r="V26" s="19"/>
      <c r="W26" s="19"/>
      <c r="X26" s="19"/>
      <c r="Y26" s="19"/>
      <c r="Z26" s="19"/>
      <c r="AA26" s="19"/>
    </row>
    <row r="27">
      <c r="A27" s="102"/>
      <c r="B27" s="150" t="s">
        <v>672</v>
      </c>
      <c r="C27" s="151" t="s">
        <v>673</v>
      </c>
      <c r="D27" s="151" t="s">
        <v>674</v>
      </c>
      <c r="E27" s="19"/>
      <c r="F27" s="19"/>
      <c r="G27" s="19"/>
      <c r="H27" s="19"/>
      <c r="I27" s="19"/>
      <c r="J27" s="19"/>
      <c r="K27" s="19"/>
      <c r="L27" s="19"/>
      <c r="M27" s="19"/>
      <c r="N27" s="19"/>
      <c r="O27" s="19"/>
      <c r="P27" s="19"/>
      <c r="Q27" s="19"/>
      <c r="R27" s="19"/>
      <c r="S27" s="19"/>
      <c r="T27" s="19"/>
      <c r="U27" s="19"/>
      <c r="V27" s="19"/>
      <c r="W27" s="19"/>
      <c r="X27" s="19"/>
      <c r="Y27" s="19"/>
      <c r="Z27" s="19"/>
      <c r="AA27" s="19"/>
    </row>
    <row r="28">
      <c r="A28" s="152"/>
      <c r="B28" s="152"/>
      <c r="C28" s="151" t="s">
        <v>675</v>
      </c>
      <c r="D28" s="156"/>
    </row>
    <row r="29">
      <c r="A29" s="152"/>
      <c r="B29" s="152"/>
      <c r="C29" s="152"/>
      <c r="D29" s="156"/>
    </row>
    <row r="30">
      <c r="A30" s="97"/>
      <c r="B30" s="169" t="s">
        <v>678</v>
      </c>
      <c r="C30" s="171" t="s">
        <v>687</v>
      </c>
      <c r="D30" s="172" t="s">
        <v>690</v>
      </c>
    </row>
    <row r="31">
      <c r="A31" s="102"/>
      <c r="B31" s="175" t="s">
        <v>691</v>
      </c>
      <c r="C31" s="177" t="s">
        <v>694</v>
      </c>
      <c r="D31" s="178" t="s">
        <v>697</v>
      </c>
    </row>
    <row r="32">
      <c r="A32" s="102"/>
      <c r="B32" s="175" t="s">
        <v>698</v>
      </c>
      <c r="C32" s="181" t="s">
        <v>699</v>
      </c>
      <c r="D32" s="184" t="s">
        <v>701</v>
      </c>
    </row>
    <row r="33">
      <c r="A33" s="102"/>
      <c r="B33" s="175" t="s">
        <v>649</v>
      </c>
      <c r="C33" s="177" t="s">
        <v>704</v>
      </c>
      <c r="D33" s="184" t="s">
        <v>705</v>
      </c>
    </row>
    <row r="34">
      <c r="A34" s="120"/>
      <c r="B34" s="188" t="s">
        <v>708</v>
      </c>
      <c r="C34" s="189" t="s">
        <v>711</v>
      </c>
      <c r="D34" s="178" t="s">
        <v>714</v>
      </c>
    </row>
    <row r="35">
      <c r="A35" s="120"/>
      <c r="B35" s="188" t="s">
        <v>715</v>
      </c>
      <c r="C35" s="177" t="s">
        <v>719</v>
      </c>
      <c r="D35" s="184" t="s">
        <v>720</v>
      </c>
    </row>
    <row r="36">
      <c r="A36" s="102"/>
      <c r="B36" s="175" t="s">
        <v>721</v>
      </c>
      <c r="C36" s="193"/>
      <c r="D36" s="196" t="s">
        <v>723</v>
      </c>
    </row>
    <row r="37">
      <c r="A37" s="198"/>
      <c r="B37" s="214" t="s">
        <v>727</v>
      </c>
      <c r="C37" s="217" t="s">
        <v>748</v>
      </c>
    </row>
    <row r="38">
      <c r="A38" s="156"/>
      <c r="B38" s="156"/>
      <c r="C38" s="156"/>
      <c r="D38" s="156"/>
    </row>
    <row r="39">
      <c r="A39" s="222"/>
      <c r="B39" s="223" t="s">
        <v>763</v>
      </c>
      <c r="C39" s="230" t="s">
        <v>764</v>
      </c>
      <c r="D39" s="235" t="s">
        <v>769</v>
      </c>
    </row>
    <row r="40">
      <c r="A40" s="120"/>
      <c r="B40" s="243" t="s">
        <v>778</v>
      </c>
      <c r="C40" s="248" t="s">
        <v>792</v>
      </c>
      <c r="D40" s="249" t="s">
        <v>798</v>
      </c>
    </row>
    <row r="41">
      <c r="A41" s="120"/>
      <c r="B41" s="254" t="s">
        <v>799</v>
      </c>
      <c r="C41" s="259" t="s">
        <v>812</v>
      </c>
      <c r="D41" s="261" t="s">
        <v>814</v>
      </c>
    </row>
    <row r="42">
      <c r="A42" s="120"/>
      <c r="B42" s="265" t="s">
        <v>816</v>
      </c>
      <c r="C42" s="267" t="s">
        <v>831</v>
      </c>
      <c r="D42" s="269" t="s">
        <v>833</v>
      </c>
    </row>
    <row r="43">
      <c r="A43" s="272"/>
      <c r="B43" s="276" t="s">
        <v>836</v>
      </c>
      <c r="C43" s="282" t="s">
        <v>844</v>
      </c>
      <c r="D43" s="287" t="s">
        <v>848</v>
      </c>
    </row>
    <row r="45">
      <c r="B45" s="295" t="s">
        <v>857</v>
      </c>
    </row>
    <row r="47">
      <c r="C47" s="273" t="s">
        <v>862</v>
      </c>
    </row>
    <row r="48">
      <c r="C48" s="273" t="s">
        <v>863</v>
      </c>
    </row>
    <row r="49">
      <c r="C49" s="273" t="s">
        <v>864</v>
      </c>
    </row>
    <row r="50">
      <c r="C50" s="273" t="s">
        <v>865</v>
      </c>
    </row>
    <row r="51">
      <c r="C51" s="273" t="s">
        <v>866</v>
      </c>
    </row>
    <row r="52">
      <c r="C52" s="303" t="s">
        <v>867</v>
      </c>
    </row>
    <row r="53">
      <c r="C53" s="303" t="s">
        <v>878</v>
      </c>
    </row>
    <row r="54">
      <c r="C54" s="303" t="s">
        <v>879</v>
      </c>
    </row>
    <row r="55">
      <c r="C55" s="106"/>
    </row>
    <row r="56">
      <c r="C56" s="106"/>
    </row>
    <row r="57">
      <c r="C57" s="106"/>
    </row>
  </sheetData>
  <mergeCells count="6">
    <mergeCell ref="B1:D1"/>
    <mergeCell ref="B2:B4"/>
    <mergeCell ref="B5:B7"/>
    <mergeCell ref="B8:B10"/>
    <mergeCell ref="B11:B13"/>
    <mergeCell ref="B45:D46"/>
  </mergeCells>
  <hyperlinks>
    <hyperlink r:id="rId4" ref="C2"/>
    <hyperlink r:id="rId5" ref="D2"/>
    <hyperlink r:id="rId6" ref="C3"/>
    <hyperlink r:id="rId7" ref="D3"/>
    <hyperlink r:id="rId8" ref="C4"/>
    <hyperlink r:id="rId9" ref="D4"/>
    <hyperlink r:id="rId10" ref="C5"/>
    <hyperlink r:id="rId11" ref="D5"/>
    <hyperlink r:id="rId12" ref="C6"/>
    <hyperlink r:id="rId13" ref="D6"/>
    <hyperlink r:id="rId14" ref="C7"/>
    <hyperlink r:id="rId15" ref="D7"/>
    <hyperlink r:id="rId16" ref="C8"/>
    <hyperlink r:id="rId17" ref="D8"/>
    <hyperlink r:id="rId18" ref="C9"/>
    <hyperlink r:id="rId19" ref="D9"/>
    <hyperlink r:id="rId20" ref="C10"/>
    <hyperlink r:id="rId21" ref="D10"/>
    <hyperlink r:id="rId22" ref="C11"/>
    <hyperlink r:id="rId23" ref="D11"/>
    <hyperlink r:id="rId24" ref="C12"/>
    <hyperlink r:id="rId25" ref="D12"/>
    <hyperlink r:id="rId26" ref="C13"/>
    <hyperlink r:id="rId27" ref="D13"/>
    <hyperlink r:id="rId28" ref="B16"/>
    <hyperlink r:id="rId29" ref="C16"/>
    <hyperlink r:id="rId30" location="gid=0" ref="D16"/>
    <hyperlink r:id="rId31" ref="B17"/>
    <hyperlink r:id="rId32" ref="C17"/>
    <hyperlink r:id="rId33" ref="D17"/>
    <hyperlink r:id="rId34" ref="B18"/>
    <hyperlink r:id="rId35" ref="C18"/>
    <hyperlink r:id="rId36" location="gid=26400736" ref="D18"/>
    <hyperlink r:id="rId37" ref="B19"/>
    <hyperlink r:id="rId38" location="h_01EDETGBNZERR6G7BRM9SG28M3" ref="C19"/>
    <hyperlink r:id="rId39" ref="B20"/>
    <hyperlink r:id="rId40" ref="C20"/>
    <hyperlink r:id="rId41" ref="D20"/>
    <hyperlink r:id="rId42" ref="B21"/>
    <hyperlink r:id="rId43" ref="C21"/>
    <hyperlink r:id="rId44" location=":~:text=IngramSpark%20will%20charge%20the%20publisher,applicable%20shipping%20and%20handling%20fees.&amp;text=If%20you%20set%20a%20retail,%249.00%20to%20purchase%20your%20book." ref="D21"/>
    <hyperlink r:id="rId45" ref="B22"/>
    <hyperlink r:id="rId46" ref="C22"/>
    <hyperlink r:id="rId47" ref="D22"/>
    <hyperlink r:id="rId48" ref="B23"/>
    <hyperlink r:id="rId49" ref="C23"/>
    <hyperlink r:id="rId50" ref="D23"/>
    <hyperlink r:id="rId51" ref="B24"/>
    <hyperlink r:id="rId52" ref="C24"/>
    <hyperlink r:id="rId53" ref="D24"/>
    <hyperlink r:id="rId54" ref="C25"/>
    <hyperlink r:id="rId55" ref="D25"/>
    <hyperlink r:id="rId56" ref="B26"/>
    <hyperlink r:id="rId57" ref="C26"/>
    <hyperlink r:id="rId58" ref="D26"/>
    <hyperlink r:id="rId59" ref="B27"/>
    <hyperlink r:id="rId60" ref="C27"/>
    <hyperlink r:id="rId61" ref="D27"/>
    <hyperlink r:id="rId62" location="aicontent" ref="C28"/>
    <hyperlink r:id="rId63" ref="B31"/>
    <hyperlink r:id="rId64" ref="C31"/>
    <hyperlink r:id="rId65" ref="B32"/>
    <hyperlink r:id="rId66" ref="C32"/>
    <hyperlink r:id="rId67" ref="D32"/>
    <hyperlink r:id="rId68" ref="B33"/>
    <hyperlink r:id="rId69" ref="C33"/>
    <hyperlink r:id="rId70" ref="D33"/>
    <hyperlink r:id="rId71" ref="B34"/>
    <hyperlink r:id="rId72" ref="C34"/>
    <hyperlink r:id="rId73" ref="B35"/>
    <hyperlink r:id="rId74" ref="C35"/>
    <hyperlink r:id="rId75" ref="D35"/>
    <hyperlink r:id="rId76" ref="B36"/>
    <hyperlink r:id="rId77" ref="D36"/>
    <hyperlink r:id="rId78" ref="B37"/>
    <hyperlink r:id="rId79" location="gid=1813759236" ref="C37"/>
    <hyperlink r:id="rId80" ref="B40"/>
    <hyperlink r:id="rId81" location="gid=474666115" ref="B41"/>
    <hyperlink r:id="rId82" location="printing" ref="B42"/>
    <hyperlink r:id="rId83" ref="B43"/>
    <hyperlink r:id="rId84" ref="B45"/>
    <hyperlink r:id="rId85" ref="C52"/>
    <hyperlink r:id="rId86" ref="C53"/>
    <hyperlink r:id="rId87" ref="C54"/>
  </hyperlinks>
  <drawing r:id="rId88"/>
  <legacyDrawing r:id="rId8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3" max="3" width="32.88"/>
    <col customWidth="1" min="4" max="4" width="15.75"/>
    <col customWidth="1" min="6" max="6" width="24.13"/>
    <col customWidth="1" min="7" max="7" width="31.0"/>
    <col customWidth="1" min="8" max="8" width="16.38"/>
  </cols>
  <sheetData>
    <row r="1">
      <c r="G1" s="47"/>
    </row>
    <row r="2">
      <c r="B2" s="58" t="s">
        <v>75</v>
      </c>
      <c r="F2" s="59" t="s">
        <v>141</v>
      </c>
    </row>
    <row r="3">
      <c r="A3" s="47"/>
      <c r="B3" s="61" t="s">
        <v>150</v>
      </c>
      <c r="C3" s="61" t="s">
        <v>152</v>
      </c>
      <c r="D3" s="62" t="s">
        <v>154</v>
      </c>
      <c r="F3" s="61" t="s">
        <v>150</v>
      </c>
      <c r="G3" s="61" t="s">
        <v>152</v>
      </c>
      <c r="H3" s="62" t="s">
        <v>154</v>
      </c>
    </row>
    <row r="4">
      <c r="A4" s="47"/>
      <c r="B4" s="64" t="s">
        <v>159</v>
      </c>
      <c r="C4" s="66" t="s">
        <v>162</v>
      </c>
      <c r="D4" s="72" t="s">
        <v>199</v>
      </c>
      <c r="F4" s="64" t="s">
        <v>203</v>
      </c>
      <c r="G4" s="66" t="s">
        <v>204</v>
      </c>
      <c r="H4" s="72" t="s">
        <v>199</v>
      </c>
    </row>
    <row r="5">
      <c r="A5" s="47"/>
      <c r="B5" s="64" t="s">
        <v>210</v>
      </c>
      <c r="C5" s="66" t="s">
        <v>211</v>
      </c>
      <c r="D5" s="72" t="s">
        <v>199</v>
      </c>
      <c r="F5" s="64" t="s">
        <v>214</v>
      </c>
      <c r="G5" s="66" t="s">
        <v>215</v>
      </c>
      <c r="H5" s="72" t="s">
        <v>199</v>
      </c>
    </row>
    <row r="6">
      <c r="A6" s="47"/>
      <c r="B6" s="64" t="s">
        <v>217</v>
      </c>
      <c r="C6" s="66" t="s">
        <v>219</v>
      </c>
      <c r="D6" s="72" t="s">
        <v>199</v>
      </c>
      <c r="F6" s="64" t="s">
        <v>221</v>
      </c>
      <c r="G6" s="66" t="s">
        <v>223</v>
      </c>
      <c r="H6" s="72" t="s">
        <v>199</v>
      </c>
    </row>
    <row r="7">
      <c r="A7" s="47"/>
      <c r="B7" s="64" t="s">
        <v>225</v>
      </c>
      <c r="C7" s="66" t="s">
        <v>226</v>
      </c>
      <c r="D7" s="72" t="s">
        <v>199</v>
      </c>
      <c r="F7" s="64" t="s">
        <v>228</v>
      </c>
      <c r="G7" s="66" t="s">
        <v>230</v>
      </c>
      <c r="H7" s="72" t="s">
        <v>199</v>
      </c>
    </row>
    <row r="8">
      <c r="A8" s="47"/>
      <c r="B8" s="64" t="s">
        <v>233</v>
      </c>
      <c r="C8" s="66" t="s">
        <v>234</v>
      </c>
      <c r="D8" s="72" t="s">
        <v>199</v>
      </c>
      <c r="F8" s="64" t="s">
        <v>235</v>
      </c>
      <c r="G8" s="66" t="s">
        <v>237</v>
      </c>
      <c r="H8" s="72" t="s">
        <v>199</v>
      </c>
    </row>
    <row r="9">
      <c r="A9" s="47"/>
      <c r="B9" s="64" t="s">
        <v>239</v>
      </c>
      <c r="C9" s="66" t="s">
        <v>240</v>
      </c>
      <c r="D9" s="72" t="s">
        <v>199</v>
      </c>
      <c r="F9" s="64" t="s">
        <v>243</v>
      </c>
      <c r="G9" s="66" t="s">
        <v>245</v>
      </c>
      <c r="H9" s="72" t="s">
        <v>199</v>
      </c>
    </row>
    <row r="10">
      <c r="A10" s="47"/>
      <c r="B10" s="64" t="s">
        <v>247</v>
      </c>
      <c r="C10" s="66" t="s">
        <v>249</v>
      </c>
      <c r="D10" s="72" t="s">
        <v>199</v>
      </c>
      <c r="F10" s="64" t="s">
        <v>252</v>
      </c>
      <c r="G10" s="66" t="s">
        <v>253</v>
      </c>
      <c r="H10" s="72" t="s">
        <v>199</v>
      </c>
    </row>
    <row r="11">
      <c r="A11" s="47"/>
      <c r="B11" s="64" t="s">
        <v>255</v>
      </c>
      <c r="C11" s="66" t="s">
        <v>256</v>
      </c>
      <c r="D11" s="72" t="s">
        <v>199</v>
      </c>
      <c r="F11" s="64" t="s">
        <v>258</v>
      </c>
      <c r="G11" s="66" t="s">
        <v>259</v>
      </c>
      <c r="H11" s="72" t="s">
        <v>199</v>
      </c>
    </row>
    <row r="12">
      <c r="A12" s="47"/>
      <c r="B12" s="64" t="s">
        <v>260</v>
      </c>
      <c r="C12" s="66" t="s">
        <v>261</v>
      </c>
      <c r="D12" s="72" t="s">
        <v>199</v>
      </c>
      <c r="F12" s="64" t="s">
        <v>263</v>
      </c>
      <c r="G12" s="66" t="s">
        <v>264</v>
      </c>
      <c r="H12" s="72" t="s">
        <v>199</v>
      </c>
    </row>
    <row r="13">
      <c r="A13" s="47"/>
      <c r="B13" s="64" t="s">
        <v>267</v>
      </c>
      <c r="C13" s="66" t="s">
        <v>268</v>
      </c>
      <c r="D13" s="72" t="s">
        <v>199</v>
      </c>
      <c r="F13" s="64" t="s">
        <v>270</v>
      </c>
      <c r="G13" s="66" t="s">
        <v>271</v>
      </c>
      <c r="H13" s="72" t="s">
        <v>199</v>
      </c>
    </row>
    <row r="14">
      <c r="A14" s="47"/>
      <c r="B14" s="64" t="s">
        <v>275</v>
      </c>
      <c r="C14" s="66" t="s">
        <v>277</v>
      </c>
      <c r="D14" s="72" t="s">
        <v>199</v>
      </c>
      <c r="F14" s="64" t="s">
        <v>279</v>
      </c>
      <c r="G14" s="66" t="s">
        <v>280</v>
      </c>
      <c r="H14" s="72" t="s">
        <v>199</v>
      </c>
    </row>
    <row r="15">
      <c r="A15" s="47"/>
      <c r="B15" s="64" t="s">
        <v>283</v>
      </c>
      <c r="C15" s="66" t="s">
        <v>284</v>
      </c>
      <c r="D15" s="72" t="s">
        <v>199</v>
      </c>
      <c r="F15" s="64" t="s">
        <v>287</v>
      </c>
      <c r="G15" s="66" t="s">
        <v>288</v>
      </c>
      <c r="H15" s="72" t="s">
        <v>199</v>
      </c>
    </row>
    <row r="16">
      <c r="A16" s="47"/>
      <c r="B16" s="64" t="s">
        <v>290</v>
      </c>
      <c r="C16" s="66" t="s">
        <v>292</v>
      </c>
      <c r="D16" s="72" t="s">
        <v>199</v>
      </c>
      <c r="F16" s="64" t="s">
        <v>294</v>
      </c>
      <c r="G16" s="66" t="s">
        <v>295</v>
      </c>
      <c r="H16" s="72" t="s">
        <v>199</v>
      </c>
    </row>
    <row r="17">
      <c r="A17" s="47"/>
      <c r="B17" s="64" t="s">
        <v>297</v>
      </c>
      <c r="C17" s="66" t="s">
        <v>299</v>
      </c>
      <c r="D17" s="72" t="s">
        <v>199</v>
      </c>
      <c r="F17" s="64" t="s">
        <v>302</v>
      </c>
      <c r="G17" s="66" t="s">
        <v>303</v>
      </c>
      <c r="H17" s="72" t="s">
        <v>199</v>
      </c>
    </row>
    <row r="18">
      <c r="A18" s="47"/>
      <c r="B18" s="64" t="s">
        <v>305</v>
      </c>
      <c r="C18" s="66" t="s">
        <v>307</v>
      </c>
      <c r="D18" s="72" t="s">
        <v>199</v>
      </c>
      <c r="F18" s="64" t="s">
        <v>309</v>
      </c>
      <c r="G18" s="66" t="s">
        <v>311</v>
      </c>
      <c r="H18" s="72" t="s">
        <v>199</v>
      </c>
    </row>
    <row r="19">
      <c r="A19" s="47"/>
      <c r="B19" s="64" t="s">
        <v>312</v>
      </c>
      <c r="C19" s="66" t="s">
        <v>315</v>
      </c>
      <c r="D19" s="72" t="s">
        <v>199</v>
      </c>
      <c r="F19" s="64" t="s">
        <v>316</v>
      </c>
      <c r="G19" s="66" t="s">
        <v>317</v>
      </c>
      <c r="H19" s="72" t="s">
        <v>199</v>
      </c>
    </row>
    <row r="20">
      <c r="A20" s="47"/>
      <c r="B20" s="64" t="s">
        <v>319</v>
      </c>
      <c r="C20" s="66" t="s">
        <v>322</v>
      </c>
      <c r="D20" s="72" t="s">
        <v>199</v>
      </c>
      <c r="F20" s="64" t="s">
        <v>324</v>
      </c>
      <c r="G20" s="66" t="s">
        <v>325</v>
      </c>
      <c r="H20" s="72" t="s">
        <v>199</v>
      </c>
    </row>
    <row r="21">
      <c r="A21" s="47"/>
      <c r="B21" s="64" t="s">
        <v>328</v>
      </c>
      <c r="C21" s="66" t="s">
        <v>329</v>
      </c>
      <c r="D21" s="72" t="s">
        <v>199</v>
      </c>
      <c r="F21" s="64" t="s">
        <v>331</v>
      </c>
      <c r="G21" s="66" t="s">
        <v>333</v>
      </c>
      <c r="H21" s="72" t="s">
        <v>199</v>
      </c>
    </row>
    <row r="22">
      <c r="A22" s="47"/>
      <c r="B22" s="64" t="s">
        <v>336</v>
      </c>
      <c r="C22" s="66" t="s">
        <v>338</v>
      </c>
      <c r="D22" s="72" t="s">
        <v>199</v>
      </c>
      <c r="F22" s="64" t="s">
        <v>348</v>
      </c>
      <c r="G22" s="66" t="s">
        <v>349</v>
      </c>
      <c r="H22" s="72" t="s">
        <v>199</v>
      </c>
    </row>
    <row r="23">
      <c r="A23" s="47"/>
      <c r="B23" s="64" t="s">
        <v>350</v>
      </c>
      <c r="C23" s="66" t="s">
        <v>352</v>
      </c>
      <c r="D23" s="72" t="s">
        <v>199</v>
      </c>
      <c r="F23" s="64" t="s">
        <v>353</v>
      </c>
      <c r="G23" s="66" t="s">
        <v>354</v>
      </c>
      <c r="H23" s="72" t="s">
        <v>199</v>
      </c>
    </row>
    <row r="24">
      <c r="A24" s="47"/>
      <c r="B24" s="64" t="s">
        <v>356</v>
      </c>
      <c r="C24" s="66" t="s">
        <v>357</v>
      </c>
      <c r="D24" s="72" t="s">
        <v>199</v>
      </c>
      <c r="F24" s="64" t="s">
        <v>359</v>
      </c>
      <c r="G24" s="66" t="s">
        <v>360</v>
      </c>
      <c r="H24" s="72" t="s">
        <v>199</v>
      </c>
    </row>
    <row r="25">
      <c r="A25" s="47"/>
      <c r="B25" s="64" t="s">
        <v>362</v>
      </c>
      <c r="C25" s="66" t="s">
        <v>363</v>
      </c>
      <c r="D25" s="72" t="s">
        <v>199</v>
      </c>
      <c r="F25" s="64" t="s">
        <v>365</v>
      </c>
      <c r="G25" s="66" t="s">
        <v>367</v>
      </c>
      <c r="H25" s="72" t="s">
        <v>199</v>
      </c>
    </row>
    <row r="26">
      <c r="A26" s="47"/>
      <c r="B26" s="47"/>
      <c r="C26" s="47"/>
      <c r="F26" s="64" t="s">
        <v>370</v>
      </c>
      <c r="G26" s="66" t="s">
        <v>371</v>
      </c>
      <c r="H26" s="72" t="s">
        <v>199</v>
      </c>
    </row>
    <row r="27">
      <c r="F27" s="64" t="s">
        <v>374</v>
      </c>
      <c r="G27" s="66" t="s">
        <v>376</v>
      </c>
      <c r="H27" s="72" t="s">
        <v>199</v>
      </c>
    </row>
    <row r="28">
      <c r="F28" s="64" t="s">
        <v>378</v>
      </c>
      <c r="G28" s="66" t="s">
        <v>380</v>
      </c>
      <c r="H28" s="72" t="s">
        <v>199</v>
      </c>
    </row>
    <row r="29">
      <c r="F29" s="64" t="s">
        <v>383</v>
      </c>
      <c r="G29" s="66" t="s">
        <v>387</v>
      </c>
      <c r="H29" s="72" t="s">
        <v>199</v>
      </c>
    </row>
    <row r="30">
      <c r="F30" s="64" t="s">
        <v>406</v>
      </c>
      <c r="G30" s="66" t="s">
        <v>411</v>
      </c>
      <c r="H30" s="72" t="s">
        <v>199</v>
      </c>
    </row>
    <row r="31">
      <c r="F31" s="64" t="s">
        <v>414</v>
      </c>
      <c r="G31" s="66" t="s">
        <v>415</v>
      </c>
      <c r="H31" s="72" t="s">
        <v>199</v>
      </c>
    </row>
    <row r="32">
      <c r="F32" s="64" t="s">
        <v>416</v>
      </c>
      <c r="G32" s="66" t="s">
        <v>419</v>
      </c>
      <c r="H32" s="72" t="s">
        <v>199</v>
      </c>
    </row>
    <row r="33">
      <c r="F33" s="64" t="s">
        <v>422</v>
      </c>
      <c r="G33" s="66" t="s">
        <v>424</v>
      </c>
      <c r="H33" s="72" t="s">
        <v>199</v>
      </c>
    </row>
    <row r="34">
      <c r="F34" s="64" t="s">
        <v>428</v>
      </c>
      <c r="G34" s="66" t="s">
        <v>429</v>
      </c>
      <c r="H34" s="72" t="s">
        <v>199</v>
      </c>
    </row>
    <row r="35">
      <c r="F35" s="64" t="s">
        <v>431</v>
      </c>
      <c r="G35" s="66" t="s">
        <v>433</v>
      </c>
      <c r="H35" s="72" t="s">
        <v>199</v>
      </c>
    </row>
    <row r="36">
      <c r="F36" s="64" t="s">
        <v>437</v>
      </c>
      <c r="G36" s="66" t="s">
        <v>438</v>
      </c>
      <c r="H36" s="72" t="s">
        <v>199</v>
      </c>
    </row>
    <row r="37">
      <c r="F37" s="64" t="s">
        <v>439</v>
      </c>
      <c r="G37" s="66" t="s">
        <v>440</v>
      </c>
      <c r="H37" s="72" t="s">
        <v>199</v>
      </c>
    </row>
    <row r="38">
      <c r="F38" s="64" t="s">
        <v>443</v>
      </c>
      <c r="G38" s="66" t="s">
        <v>444</v>
      </c>
      <c r="H38" s="72" t="s">
        <v>199</v>
      </c>
    </row>
    <row r="39">
      <c r="F39" s="64" t="s">
        <v>445</v>
      </c>
      <c r="G39" s="66" t="s">
        <v>448</v>
      </c>
      <c r="H39" s="72" t="s">
        <v>199</v>
      </c>
    </row>
    <row r="40">
      <c r="F40" s="64" t="s">
        <v>467</v>
      </c>
      <c r="G40" s="66" t="s">
        <v>468</v>
      </c>
      <c r="H40" s="72" t="s">
        <v>199</v>
      </c>
    </row>
    <row r="41">
      <c r="F41" s="64" t="s">
        <v>471</v>
      </c>
      <c r="G41" s="66" t="s">
        <v>473</v>
      </c>
      <c r="H41" s="72" t="s">
        <v>199</v>
      </c>
    </row>
    <row r="42">
      <c r="F42" s="64" t="s">
        <v>474</v>
      </c>
      <c r="G42" s="66" t="s">
        <v>475</v>
      </c>
      <c r="H42" s="72" t="s">
        <v>199</v>
      </c>
    </row>
    <row r="43">
      <c r="F43" s="64" t="s">
        <v>477</v>
      </c>
      <c r="G43" s="66" t="s">
        <v>478</v>
      </c>
      <c r="H43" s="72" t="s">
        <v>199</v>
      </c>
    </row>
    <row r="44">
      <c r="F44" s="64" t="s">
        <v>480</v>
      </c>
      <c r="G44" s="66" t="s">
        <v>481</v>
      </c>
      <c r="H44" s="72" t="s">
        <v>199</v>
      </c>
    </row>
    <row r="45">
      <c r="F45" s="64" t="s">
        <v>483</v>
      </c>
      <c r="G45" s="66" t="s">
        <v>484</v>
      </c>
      <c r="H45" s="72" t="s">
        <v>199</v>
      </c>
    </row>
    <row r="46">
      <c r="F46" s="64" t="s">
        <v>487</v>
      </c>
      <c r="G46" s="66" t="s">
        <v>488</v>
      </c>
      <c r="H46" s="72" t="s">
        <v>199</v>
      </c>
    </row>
    <row r="47">
      <c r="F47" s="64" t="s">
        <v>491</v>
      </c>
      <c r="G47" s="66" t="s">
        <v>492</v>
      </c>
      <c r="H47" s="72" t="s">
        <v>199</v>
      </c>
    </row>
    <row r="48">
      <c r="F48" s="64" t="s">
        <v>493</v>
      </c>
      <c r="G48" s="66" t="s">
        <v>494</v>
      </c>
      <c r="H48" s="72" t="s">
        <v>199</v>
      </c>
    </row>
    <row r="49">
      <c r="F49" s="64" t="s">
        <v>497</v>
      </c>
      <c r="G49" s="66" t="s">
        <v>499</v>
      </c>
      <c r="H49" s="72" t="s">
        <v>199</v>
      </c>
    </row>
    <row r="50">
      <c r="F50" s="64" t="s">
        <v>502</v>
      </c>
      <c r="G50" s="66" t="s">
        <v>503</v>
      </c>
      <c r="H50" s="72" t="s">
        <v>199</v>
      </c>
    </row>
    <row r="51">
      <c r="G51" s="47"/>
    </row>
    <row r="52">
      <c r="G52" s="47"/>
    </row>
    <row r="53">
      <c r="G53" s="47"/>
    </row>
    <row r="54">
      <c r="G54" s="47"/>
    </row>
    <row r="55">
      <c r="G55" s="47"/>
    </row>
    <row r="56">
      <c r="G56" s="47"/>
    </row>
    <row r="57">
      <c r="G57" s="47"/>
    </row>
    <row r="58">
      <c r="G58" s="47"/>
    </row>
    <row r="59">
      <c r="G59" s="47"/>
    </row>
    <row r="60">
      <c r="G60" s="47"/>
    </row>
    <row r="61">
      <c r="G61" s="47"/>
    </row>
    <row r="62">
      <c r="G62" s="47"/>
    </row>
    <row r="63">
      <c r="G63" s="47"/>
    </row>
    <row r="64">
      <c r="G64" s="47"/>
    </row>
    <row r="65">
      <c r="G65" s="47"/>
    </row>
    <row r="66">
      <c r="G66" s="47"/>
    </row>
    <row r="67">
      <c r="G67" s="47"/>
    </row>
    <row r="68">
      <c r="G68" s="47"/>
    </row>
    <row r="69">
      <c r="G69" s="47"/>
    </row>
    <row r="70">
      <c r="G70" s="47"/>
    </row>
    <row r="71">
      <c r="G71" s="47"/>
    </row>
    <row r="72">
      <c r="G72" s="47"/>
    </row>
    <row r="73">
      <c r="G73" s="47"/>
    </row>
    <row r="74">
      <c r="G74" s="47"/>
    </row>
    <row r="75">
      <c r="G75" s="47"/>
    </row>
    <row r="76">
      <c r="G76" s="47"/>
    </row>
    <row r="77">
      <c r="G77" s="47"/>
    </row>
    <row r="78">
      <c r="G78" s="47"/>
    </row>
    <row r="79">
      <c r="G79" s="47"/>
    </row>
    <row r="80">
      <c r="G80" s="47"/>
    </row>
    <row r="81">
      <c r="G81" s="47"/>
    </row>
    <row r="82">
      <c r="G82" s="47"/>
    </row>
    <row r="83">
      <c r="G83" s="47"/>
    </row>
    <row r="84">
      <c r="G84" s="47"/>
    </row>
    <row r="85">
      <c r="G85" s="47"/>
    </row>
    <row r="86">
      <c r="G86" s="47"/>
    </row>
    <row r="87">
      <c r="G87" s="47"/>
    </row>
    <row r="88">
      <c r="G88" s="47"/>
    </row>
    <row r="89">
      <c r="G89" s="47"/>
    </row>
    <row r="90">
      <c r="G90" s="47"/>
    </row>
    <row r="91">
      <c r="G91" s="47"/>
    </row>
    <row r="92">
      <c r="G92" s="47"/>
    </row>
    <row r="93">
      <c r="G93" s="47"/>
    </row>
    <row r="94">
      <c r="G94" s="47"/>
    </row>
    <row r="95">
      <c r="G95" s="47"/>
    </row>
    <row r="96">
      <c r="G96" s="47"/>
    </row>
    <row r="97">
      <c r="G97" s="47"/>
    </row>
    <row r="98">
      <c r="G98" s="47"/>
    </row>
    <row r="99">
      <c r="G99" s="47"/>
    </row>
    <row r="100">
      <c r="G100" s="47"/>
    </row>
    <row r="101">
      <c r="G101" s="47"/>
    </row>
    <row r="102">
      <c r="G102" s="47"/>
    </row>
    <row r="103">
      <c r="G103" s="47"/>
    </row>
    <row r="104">
      <c r="G104" s="47"/>
    </row>
    <row r="105">
      <c r="G105" s="47"/>
    </row>
    <row r="106">
      <c r="G106" s="47"/>
    </row>
    <row r="107">
      <c r="G107" s="47"/>
    </row>
    <row r="108">
      <c r="G108" s="47"/>
    </row>
    <row r="109">
      <c r="G109" s="47"/>
    </row>
    <row r="110">
      <c r="G110" s="47"/>
    </row>
    <row r="111">
      <c r="G111" s="47"/>
    </row>
    <row r="112">
      <c r="G112" s="47"/>
    </row>
    <row r="113">
      <c r="G113" s="47"/>
    </row>
    <row r="114">
      <c r="G114" s="47"/>
    </row>
    <row r="115">
      <c r="G115" s="47"/>
    </row>
    <row r="116">
      <c r="G116" s="47"/>
    </row>
    <row r="117">
      <c r="G117" s="47"/>
    </row>
    <row r="118">
      <c r="G118" s="47"/>
    </row>
    <row r="119">
      <c r="G119" s="47"/>
    </row>
    <row r="120">
      <c r="G120" s="47"/>
    </row>
    <row r="121">
      <c r="G121" s="47"/>
    </row>
    <row r="122">
      <c r="G122" s="47"/>
    </row>
    <row r="123">
      <c r="G123" s="47"/>
    </row>
    <row r="124">
      <c r="G124" s="47"/>
    </row>
    <row r="125">
      <c r="G125" s="47"/>
    </row>
    <row r="126">
      <c r="G126" s="47"/>
    </row>
    <row r="127">
      <c r="G127" s="47"/>
    </row>
    <row r="128">
      <c r="G128" s="47"/>
    </row>
    <row r="129">
      <c r="G129" s="47"/>
    </row>
    <row r="130">
      <c r="G130" s="47"/>
    </row>
    <row r="131">
      <c r="G131" s="47"/>
    </row>
    <row r="132">
      <c r="G132" s="47"/>
    </row>
    <row r="133">
      <c r="G133" s="47"/>
    </row>
    <row r="134">
      <c r="G134" s="47"/>
    </row>
    <row r="135">
      <c r="G135" s="47"/>
    </row>
    <row r="136">
      <c r="G136" s="47"/>
    </row>
    <row r="137">
      <c r="G137" s="47"/>
    </row>
    <row r="138">
      <c r="G138" s="47"/>
    </row>
    <row r="139">
      <c r="G139" s="47"/>
    </row>
    <row r="140">
      <c r="G140" s="47"/>
    </row>
    <row r="141">
      <c r="G141" s="47"/>
    </row>
    <row r="142">
      <c r="G142" s="47"/>
    </row>
    <row r="143">
      <c r="G143" s="47"/>
    </row>
    <row r="144">
      <c r="G144" s="47"/>
    </row>
    <row r="145">
      <c r="G145" s="47"/>
    </row>
    <row r="146">
      <c r="G146" s="47"/>
    </row>
    <row r="147">
      <c r="G147" s="47"/>
    </row>
    <row r="148">
      <c r="G148" s="47"/>
    </row>
    <row r="149">
      <c r="G149" s="47"/>
    </row>
    <row r="150">
      <c r="G150" s="47"/>
    </row>
    <row r="151">
      <c r="G151" s="47"/>
    </row>
    <row r="152">
      <c r="G152" s="47"/>
    </row>
    <row r="153">
      <c r="G153" s="47"/>
    </row>
    <row r="154">
      <c r="G154" s="47"/>
    </row>
    <row r="155">
      <c r="G155" s="47"/>
    </row>
    <row r="156">
      <c r="G156" s="47"/>
    </row>
    <row r="157">
      <c r="G157" s="47"/>
    </row>
    <row r="158">
      <c r="G158" s="47"/>
    </row>
    <row r="159">
      <c r="G159" s="47"/>
    </row>
    <row r="160">
      <c r="G160" s="47"/>
    </row>
    <row r="161">
      <c r="G161" s="47"/>
    </row>
    <row r="162">
      <c r="G162" s="47"/>
    </row>
    <row r="163">
      <c r="G163" s="47"/>
    </row>
    <row r="164">
      <c r="G164" s="47"/>
    </row>
    <row r="165">
      <c r="G165" s="47"/>
    </row>
    <row r="166">
      <c r="G166" s="47"/>
    </row>
    <row r="167">
      <c r="G167" s="47"/>
    </row>
    <row r="168">
      <c r="G168" s="47"/>
    </row>
    <row r="169">
      <c r="G169" s="47"/>
    </row>
    <row r="170">
      <c r="G170" s="47"/>
    </row>
    <row r="171">
      <c r="G171" s="47"/>
    </row>
    <row r="172">
      <c r="G172" s="47"/>
    </row>
    <row r="173">
      <c r="G173" s="47"/>
    </row>
    <row r="174">
      <c r="G174" s="47"/>
    </row>
    <row r="175">
      <c r="G175" s="47"/>
    </row>
    <row r="176">
      <c r="G176" s="47"/>
    </row>
    <row r="177">
      <c r="G177" s="47"/>
    </row>
    <row r="178">
      <c r="G178" s="47"/>
    </row>
    <row r="179">
      <c r="G179" s="47"/>
    </row>
    <row r="180">
      <c r="G180" s="47"/>
    </row>
    <row r="181">
      <c r="G181" s="47"/>
    </row>
    <row r="182">
      <c r="G182" s="47"/>
    </row>
    <row r="183">
      <c r="G183" s="47"/>
    </row>
    <row r="184">
      <c r="G184" s="47"/>
    </row>
    <row r="185">
      <c r="G185" s="47"/>
    </row>
    <row r="186">
      <c r="G186" s="47"/>
    </row>
    <row r="187">
      <c r="G187" s="47"/>
    </row>
    <row r="188">
      <c r="G188" s="47"/>
    </row>
    <row r="189">
      <c r="G189" s="47"/>
    </row>
    <row r="190">
      <c r="G190" s="47"/>
    </row>
    <row r="191">
      <c r="G191" s="47"/>
    </row>
    <row r="192">
      <c r="G192" s="47"/>
    </row>
    <row r="193">
      <c r="G193" s="47"/>
    </row>
    <row r="194">
      <c r="G194" s="47"/>
    </row>
    <row r="195">
      <c r="G195" s="47"/>
    </row>
    <row r="196">
      <c r="G196" s="47"/>
    </row>
    <row r="197">
      <c r="G197" s="47"/>
    </row>
    <row r="198">
      <c r="G198" s="47"/>
    </row>
    <row r="199">
      <c r="G199" s="47"/>
    </row>
    <row r="200">
      <c r="G200" s="47"/>
    </row>
    <row r="201">
      <c r="G201" s="47"/>
    </row>
    <row r="202">
      <c r="G202" s="47"/>
    </row>
    <row r="203">
      <c r="G203" s="47"/>
    </row>
    <row r="204">
      <c r="G204" s="47"/>
    </row>
    <row r="205">
      <c r="G205" s="47"/>
    </row>
    <row r="206">
      <c r="G206" s="47"/>
    </row>
    <row r="207">
      <c r="G207" s="47"/>
    </row>
    <row r="208">
      <c r="G208" s="47"/>
    </row>
    <row r="209">
      <c r="G209" s="47"/>
    </row>
    <row r="210">
      <c r="G210" s="47"/>
    </row>
    <row r="211">
      <c r="G211" s="47"/>
    </row>
    <row r="212">
      <c r="G212" s="47"/>
    </row>
    <row r="213">
      <c r="G213" s="47"/>
    </row>
    <row r="214">
      <c r="G214" s="47"/>
    </row>
    <row r="215">
      <c r="G215" s="47"/>
    </row>
    <row r="216">
      <c r="G216" s="47"/>
    </row>
    <row r="217">
      <c r="G217" s="47"/>
    </row>
    <row r="218">
      <c r="G218" s="47"/>
    </row>
    <row r="219">
      <c r="G219" s="47"/>
    </row>
    <row r="220">
      <c r="G220" s="47"/>
    </row>
    <row r="221">
      <c r="G221" s="47"/>
    </row>
    <row r="222">
      <c r="G222" s="47"/>
    </row>
    <row r="223">
      <c r="G223" s="47"/>
    </row>
    <row r="224">
      <c r="G224" s="47"/>
    </row>
    <row r="225">
      <c r="G225" s="47"/>
    </row>
    <row r="226">
      <c r="G226" s="47"/>
    </row>
    <row r="227">
      <c r="G227" s="47"/>
    </row>
    <row r="228">
      <c r="G228" s="47"/>
    </row>
    <row r="229">
      <c r="G229" s="47"/>
    </row>
    <row r="230">
      <c r="G230" s="47"/>
    </row>
    <row r="231">
      <c r="G231" s="47"/>
    </row>
    <row r="232">
      <c r="G232" s="47"/>
    </row>
    <row r="233">
      <c r="G233" s="47"/>
    </row>
    <row r="234">
      <c r="G234" s="47"/>
    </row>
    <row r="235">
      <c r="G235" s="47"/>
    </row>
    <row r="236">
      <c r="G236" s="47"/>
    </row>
    <row r="237">
      <c r="G237" s="47"/>
    </row>
    <row r="238">
      <c r="G238" s="47"/>
    </row>
    <row r="239">
      <c r="G239" s="47"/>
    </row>
    <row r="240">
      <c r="G240" s="47"/>
    </row>
    <row r="241">
      <c r="G241" s="47"/>
    </row>
    <row r="242">
      <c r="G242" s="47"/>
    </row>
    <row r="243">
      <c r="G243" s="47"/>
    </row>
    <row r="244">
      <c r="G244" s="47"/>
    </row>
    <row r="245">
      <c r="G245" s="47"/>
    </row>
    <row r="246">
      <c r="G246" s="47"/>
    </row>
    <row r="247">
      <c r="G247" s="47"/>
    </row>
    <row r="248">
      <c r="G248" s="47"/>
    </row>
    <row r="249">
      <c r="G249" s="47"/>
    </row>
    <row r="250">
      <c r="G250" s="47"/>
    </row>
    <row r="251">
      <c r="G251" s="47"/>
    </row>
    <row r="252">
      <c r="G252" s="47"/>
    </row>
    <row r="253">
      <c r="G253" s="47"/>
    </row>
    <row r="254">
      <c r="G254" s="47"/>
    </row>
    <row r="255">
      <c r="G255" s="47"/>
    </row>
    <row r="256">
      <c r="G256" s="47"/>
    </row>
    <row r="257">
      <c r="G257" s="47"/>
    </row>
    <row r="258">
      <c r="G258" s="47"/>
    </row>
    <row r="259">
      <c r="G259" s="47"/>
    </row>
    <row r="260">
      <c r="G260" s="47"/>
    </row>
    <row r="261">
      <c r="G261" s="47"/>
    </row>
    <row r="262">
      <c r="G262" s="47"/>
    </row>
    <row r="263">
      <c r="G263" s="47"/>
    </row>
    <row r="264">
      <c r="G264" s="47"/>
    </row>
    <row r="265">
      <c r="G265" s="47"/>
    </row>
    <row r="266">
      <c r="G266" s="47"/>
    </row>
    <row r="267">
      <c r="G267" s="47"/>
    </row>
    <row r="268">
      <c r="G268" s="47"/>
    </row>
    <row r="269">
      <c r="G269" s="47"/>
    </row>
    <row r="270">
      <c r="G270" s="47"/>
    </row>
    <row r="271">
      <c r="G271" s="47"/>
    </row>
    <row r="272">
      <c r="G272" s="47"/>
    </row>
    <row r="273">
      <c r="G273" s="47"/>
    </row>
    <row r="274">
      <c r="G274" s="47"/>
    </row>
    <row r="275">
      <c r="G275" s="47"/>
    </row>
    <row r="276">
      <c r="G276" s="47"/>
    </row>
    <row r="277">
      <c r="G277" s="47"/>
    </row>
    <row r="278">
      <c r="G278" s="47"/>
    </row>
    <row r="279">
      <c r="G279" s="47"/>
    </row>
    <row r="280">
      <c r="G280" s="47"/>
    </row>
    <row r="281">
      <c r="G281" s="47"/>
    </row>
    <row r="282">
      <c r="G282" s="47"/>
    </row>
    <row r="283">
      <c r="G283" s="47"/>
    </row>
    <row r="284">
      <c r="G284" s="47"/>
    </row>
    <row r="285">
      <c r="G285" s="47"/>
    </row>
    <row r="286">
      <c r="G286" s="47"/>
    </row>
    <row r="287">
      <c r="G287" s="47"/>
    </row>
    <row r="288">
      <c r="G288" s="47"/>
    </row>
    <row r="289">
      <c r="G289" s="47"/>
    </row>
    <row r="290">
      <c r="G290" s="47"/>
    </row>
    <row r="291">
      <c r="G291" s="47"/>
    </row>
    <row r="292">
      <c r="G292" s="47"/>
    </row>
    <row r="293">
      <c r="G293" s="47"/>
    </row>
    <row r="294">
      <c r="G294" s="47"/>
    </row>
    <row r="295">
      <c r="G295" s="47"/>
    </row>
    <row r="296">
      <c r="G296" s="47"/>
    </row>
    <row r="297">
      <c r="G297" s="47"/>
    </row>
    <row r="298">
      <c r="G298" s="47"/>
    </row>
    <row r="299">
      <c r="G299" s="47"/>
    </row>
    <row r="300">
      <c r="G300" s="47"/>
    </row>
    <row r="301">
      <c r="G301" s="47"/>
    </row>
    <row r="302">
      <c r="G302" s="47"/>
    </row>
    <row r="303">
      <c r="G303" s="47"/>
    </row>
    <row r="304">
      <c r="G304" s="47"/>
    </row>
    <row r="305">
      <c r="G305" s="47"/>
    </row>
    <row r="306">
      <c r="G306" s="47"/>
    </row>
    <row r="307">
      <c r="G307" s="47"/>
    </row>
    <row r="308">
      <c r="G308" s="47"/>
    </row>
    <row r="309">
      <c r="G309" s="47"/>
    </row>
    <row r="310">
      <c r="G310" s="47"/>
    </row>
    <row r="311">
      <c r="G311" s="47"/>
    </row>
    <row r="312">
      <c r="G312" s="47"/>
    </row>
    <row r="313">
      <c r="G313" s="47"/>
    </row>
    <row r="314">
      <c r="G314" s="47"/>
    </row>
    <row r="315">
      <c r="G315" s="47"/>
    </row>
    <row r="316">
      <c r="G316" s="47"/>
    </row>
    <row r="317">
      <c r="G317" s="47"/>
    </row>
    <row r="318">
      <c r="G318" s="47"/>
    </row>
    <row r="319">
      <c r="G319" s="47"/>
    </row>
    <row r="320">
      <c r="G320" s="47"/>
    </row>
    <row r="321">
      <c r="G321" s="47"/>
    </row>
    <row r="322">
      <c r="G322" s="47"/>
    </row>
    <row r="323">
      <c r="G323" s="47"/>
    </row>
    <row r="324">
      <c r="G324" s="47"/>
    </row>
    <row r="325">
      <c r="G325" s="47"/>
    </row>
    <row r="326">
      <c r="G326" s="47"/>
    </row>
    <row r="327">
      <c r="G327" s="47"/>
    </row>
    <row r="328">
      <c r="G328" s="47"/>
    </row>
    <row r="329">
      <c r="G329" s="47"/>
    </row>
    <row r="330">
      <c r="G330" s="47"/>
    </row>
    <row r="331">
      <c r="G331" s="47"/>
    </row>
    <row r="332">
      <c r="G332" s="47"/>
    </row>
    <row r="333">
      <c r="G333" s="47"/>
    </row>
    <row r="334">
      <c r="G334" s="47"/>
    </row>
    <row r="335">
      <c r="G335" s="47"/>
    </row>
    <row r="336">
      <c r="G336" s="47"/>
    </row>
    <row r="337">
      <c r="G337" s="47"/>
    </row>
    <row r="338">
      <c r="G338" s="47"/>
    </row>
    <row r="339">
      <c r="G339" s="47"/>
    </row>
    <row r="340">
      <c r="G340" s="47"/>
    </row>
    <row r="341">
      <c r="G341" s="47"/>
    </row>
    <row r="342">
      <c r="G342" s="47"/>
    </row>
    <row r="343">
      <c r="G343" s="47"/>
    </row>
    <row r="344">
      <c r="G344" s="47"/>
    </row>
    <row r="345">
      <c r="G345" s="47"/>
    </row>
    <row r="346">
      <c r="G346" s="47"/>
    </row>
    <row r="347">
      <c r="G347" s="47"/>
    </row>
    <row r="348">
      <c r="G348" s="47"/>
    </row>
    <row r="349">
      <c r="G349" s="47"/>
    </row>
    <row r="350">
      <c r="G350" s="47"/>
    </row>
    <row r="351">
      <c r="G351" s="47"/>
    </row>
    <row r="352">
      <c r="G352" s="47"/>
    </row>
    <row r="353">
      <c r="G353" s="47"/>
    </row>
    <row r="354">
      <c r="G354" s="47"/>
    </row>
    <row r="355">
      <c r="G355" s="47"/>
    </row>
    <row r="356">
      <c r="G356" s="47"/>
    </row>
    <row r="357">
      <c r="G357" s="47"/>
    </row>
    <row r="358">
      <c r="G358" s="47"/>
    </row>
    <row r="359">
      <c r="G359" s="47"/>
    </row>
    <row r="360">
      <c r="G360" s="47"/>
    </row>
    <row r="361">
      <c r="G361" s="47"/>
    </row>
    <row r="362">
      <c r="G362" s="47"/>
    </row>
    <row r="363">
      <c r="G363" s="47"/>
    </row>
    <row r="364">
      <c r="G364" s="47"/>
    </row>
    <row r="365">
      <c r="G365" s="47"/>
    </row>
    <row r="366">
      <c r="G366" s="47"/>
    </row>
    <row r="367">
      <c r="G367" s="47"/>
    </row>
    <row r="368">
      <c r="G368" s="47"/>
    </row>
    <row r="369">
      <c r="G369" s="47"/>
    </row>
    <row r="370">
      <c r="G370" s="47"/>
    </row>
    <row r="371">
      <c r="G371" s="47"/>
    </row>
    <row r="372">
      <c r="G372" s="47"/>
    </row>
    <row r="373">
      <c r="G373" s="47"/>
    </row>
    <row r="374">
      <c r="G374" s="47"/>
    </row>
    <row r="375">
      <c r="G375" s="47"/>
    </row>
    <row r="376">
      <c r="G376" s="47"/>
    </row>
    <row r="377">
      <c r="G377" s="47"/>
    </row>
    <row r="378">
      <c r="G378" s="47"/>
    </row>
    <row r="379">
      <c r="G379" s="47"/>
    </row>
    <row r="380">
      <c r="G380" s="47"/>
    </row>
    <row r="381">
      <c r="G381" s="47"/>
    </row>
    <row r="382">
      <c r="G382" s="47"/>
    </row>
    <row r="383">
      <c r="G383" s="47"/>
    </row>
    <row r="384">
      <c r="G384" s="47"/>
    </row>
    <row r="385">
      <c r="G385" s="47"/>
    </row>
    <row r="386">
      <c r="G386" s="47"/>
    </row>
    <row r="387">
      <c r="G387" s="47"/>
    </row>
    <row r="388">
      <c r="G388" s="47"/>
    </row>
    <row r="389">
      <c r="G389" s="47"/>
    </row>
    <row r="390">
      <c r="G390" s="47"/>
    </row>
    <row r="391">
      <c r="G391" s="47"/>
    </row>
    <row r="392">
      <c r="G392" s="47"/>
    </row>
    <row r="393">
      <c r="G393" s="47"/>
    </row>
    <row r="394">
      <c r="G394" s="47"/>
    </row>
    <row r="395">
      <c r="G395" s="47"/>
    </row>
    <row r="396">
      <c r="G396" s="47"/>
    </row>
    <row r="397">
      <c r="G397" s="47"/>
    </row>
    <row r="398">
      <c r="G398" s="47"/>
    </row>
    <row r="399">
      <c r="G399" s="47"/>
    </row>
    <row r="400">
      <c r="G400" s="47"/>
    </row>
    <row r="401">
      <c r="G401" s="47"/>
    </row>
    <row r="402">
      <c r="G402" s="47"/>
    </row>
    <row r="403">
      <c r="G403" s="47"/>
    </row>
    <row r="404">
      <c r="G404" s="47"/>
    </row>
    <row r="405">
      <c r="G405" s="47"/>
    </row>
    <row r="406">
      <c r="G406" s="47"/>
    </row>
    <row r="407">
      <c r="G407" s="47"/>
    </row>
    <row r="408">
      <c r="G408" s="47"/>
    </row>
    <row r="409">
      <c r="G409" s="47"/>
    </row>
    <row r="410">
      <c r="G410" s="47"/>
    </row>
    <row r="411">
      <c r="G411" s="47"/>
    </row>
    <row r="412">
      <c r="G412" s="47"/>
    </row>
    <row r="413">
      <c r="G413" s="47"/>
    </row>
    <row r="414">
      <c r="G414" s="47"/>
    </row>
    <row r="415">
      <c r="G415" s="47"/>
    </row>
    <row r="416">
      <c r="G416" s="47"/>
    </row>
    <row r="417">
      <c r="G417" s="47"/>
    </row>
    <row r="418">
      <c r="G418" s="47"/>
    </row>
    <row r="419">
      <c r="G419" s="47"/>
    </row>
    <row r="420">
      <c r="G420" s="47"/>
    </row>
    <row r="421">
      <c r="G421" s="47"/>
    </row>
    <row r="422">
      <c r="G422" s="47"/>
    </row>
    <row r="423">
      <c r="G423" s="47"/>
    </row>
    <row r="424">
      <c r="G424" s="47"/>
    </row>
    <row r="425">
      <c r="G425" s="47"/>
    </row>
    <row r="426">
      <c r="G426" s="47"/>
    </row>
    <row r="427">
      <c r="G427" s="47"/>
    </row>
    <row r="428">
      <c r="G428" s="47"/>
    </row>
    <row r="429">
      <c r="G429" s="47"/>
    </row>
    <row r="430">
      <c r="G430" s="47"/>
    </row>
    <row r="431">
      <c r="G431" s="47"/>
    </row>
    <row r="432">
      <c r="G432" s="47"/>
    </row>
    <row r="433">
      <c r="G433" s="47"/>
    </row>
    <row r="434">
      <c r="G434" s="47"/>
    </row>
    <row r="435">
      <c r="G435" s="47"/>
    </row>
    <row r="436">
      <c r="G436" s="47"/>
    </row>
    <row r="437">
      <c r="G437" s="47"/>
    </row>
    <row r="438">
      <c r="G438" s="47"/>
    </row>
    <row r="439">
      <c r="G439" s="47"/>
    </row>
    <row r="440">
      <c r="G440" s="47"/>
    </row>
    <row r="441">
      <c r="G441" s="47"/>
    </row>
    <row r="442">
      <c r="G442" s="47"/>
    </row>
    <row r="443">
      <c r="G443" s="47"/>
    </row>
    <row r="444">
      <c r="G444" s="47"/>
    </row>
    <row r="445">
      <c r="G445" s="47"/>
    </row>
    <row r="446">
      <c r="G446" s="47"/>
    </row>
    <row r="447">
      <c r="G447" s="47"/>
    </row>
    <row r="448">
      <c r="G448" s="47"/>
    </row>
    <row r="449">
      <c r="G449" s="47"/>
    </row>
    <row r="450">
      <c r="G450" s="47"/>
    </row>
    <row r="451">
      <c r="G451" s="47"/>
    </row>
    <row r="452">
      <c r="G452" s="47"/>
    </row>
    <row r="453">
      <c r="G453" s="47"/>
    </row>
    <row r="454">
      <c r="G454" s="47"/>
    </row>
    <row r="455">
      <c r="G455" s="47"/>
    </row>
    <row r="456">
      <c r="G456" s="47"/>
    </row>
    <row r="457">
      <c r="G457" s="47"/>
    </row>
    <row r="458">
      <c r="G458" s="47"/>
    </row>
    <row r="459">
      <c r="G459" s="47"/>
    </row>
    <row r="460">
      <c r="G460" s="47"/>
    </row>
    <row r="461">
      <c r="G461" s="47"/>
    </row>
    <row r="462">
      <c r="G462" s="47"/>
    </row>
    <row r="463">
      <c r="G463" s="47"/>
    </row>
    <row r="464">
      <c r="G464" s="47"/>
    </row>
    <row r="465">
      <c r="G465" s="47"/>
    </row>
    <row r="466">
      <c r="G466" s="47"/>
    </row>
    <row r="467">
      <c r="G467" s="47"/>
    </row>
    <row r="468">
      <c r="G468" s="47"/>
    </row>
    <row r="469">
      <c r="G469" s="47"/>
    </row>
    <row r="470">
      <c r="G470" s="47"/>
    </row>
    <row r="471">
      <c r="G471" s="47"/>
    </row>
    <row r="472">
      <c r="G472" s="47"/>
    </row>
    <row r="473">
      <c r="G473" s="47"/>
    </row>
    <row r="474">
      <c r="G474" s="47"/>
    </row>
    <row r="475">
      <c r="G475" s="47"/>
    </row>
    <row r="476">
      <c r="G476" s="47"/>
    </row>
    <row r="477">
      <c r="G477" s="47"/>
    </row>
    <row r="478">
      <c r="G478" s="47"/>
    </row>
    <row r="479">
      <c r="G479" s="47"/>
    </row>
    <row r="480">
      <c r="G480" s="47"/>
    </row>
    <row r="481">
      <c r="G481" s="47"/>
    </row>
    <row r="482">
      <c r="G482" s="47"/>
    </row>
    <row r="483">
      <c r="G483" s="47"/>
    </row>
    <row r="484">
      <c r="G484" s="47"/>
    </row>
    <row r="485">
      <c r="G485" s="47"/>
    </row>
    <row r="486">
      <c r="G486" s="47"/>
    </row>
    <row r="487">
      <c r="G487" s="47"/>
    </row>
    <row r="488">
      <c r="G488" s="47"/>
    </row>
    <row r="489">
      <c r="G489" s="47"/>
    </row>
    <row r="490">
      <c r="G490" s="47"/>
    </row>
    <row r="491">
      <c r="G491" s="47"/>
    </row>
    <row r="492">
      <c r="G492" s="47"/>
    </row>
    <row r="493">
      <c r="G493" s="47"/>
    </row>
    <row r="494">
      <c r="G494" s="47"/>
    </row>
    <row r="495">
      <c r="G495" s="47"/>
    </row>
    <row r="496">
      <c r="G496" s="47"/>
    </row>
    <row r="497">
      <c r="G497" s="47"/>
    </row>
    <row r="498">
      <c r="G498" s="47"/>
    </row>
    <row r="499">
      <c r="G499" s="47"/>
    </row>
    <row r="500">
      <c r="G500" s="47"/>
    </row>
    <row r="501">
      <c r="G501" s="47"/>
    </row>
    <row r="502">
      <c r="G502" s="47"/>
    </row>
    <row r="503">
      <c r="G503" s="47"/>
    </row>
    <row r="504">
      <c r="G504" s="47"/>
    </row>
    <row r="505">
      <c r="G505" s="47"/>
    </row>
    <row r="506">
      <c r="G506" s="47"/>
    </row>
    <row r="507">
      <c r="G507" s="47"/>
    </row>
    <row r="508">
      <c r="G508" s="47"/>
    </row>
    <row r="509">
      <c r="G509" s="47"/>
    </row>
    <row r="510">
      <c r="G510" s="47"/>
    </row>
    <row r="511">
      <c r="G511" s="47"/>
    </row>
    <row r="512">
      <c r="G512" s="47"/>
    </row>
    <row r="513">
      <c r="G513" s="47"/>
    </row>
    <row r="514">
      <c r="G514" s="47"/>
    </row>
    <row r="515">
      <c r="G515" s="47"/>
    </row>
    <row r="516">
      <c r="G516" s="47"/>
    </row>
    <row r="517">
      <c r="G517" s="47"/>
    </row>
    <row r="518">
      <c r="G518" s="47"/>
    </row>
    <row r="519">
      <c r="G519" s="47"/>
    </row>
    <row r="520">
      <c r="G520" s="47"/>
    </row>
    <row r="521">
      <c r="G521" s="47"/>
    </row>
    <row r="522">
      <c r="G522" s="47"/>
    </row>
    <row r="523">
      <c r="G523" s="47"/>
    </row>
    <row r="524">
      <c r="G524" s="47"/>
    </row>
    <row r="525">
      <c r="G525" s="47"/>
    </row>
    <row r="526">
      <c r="G526" s="47"/>
    </row>
    <row r="527">
      <c r="G527" s="47"/>
    </row>
    <row r="528">
      <c r="G528" s="47"/>
    </row>
    <row r="529">
      <c r="G529" s="47"/>
    </row>
    <row r="530">
      <c r="G530" s="47"/>
    </row>
    <row r="531">
      <c r="G531" s="47"/>
    </row>
    <row r="532">
      <c r="G532" s="47"/>
    </row>
    <row r="533">
      <c r="G533" s="47"/>
    </row>
    <row r="534">
      <c r="G534" s="47"/>
    </row>
    <row r="535">
      <c r="G535" s="47"/>
    </row>
    <row r="536">
      <c r="G536" s="47"/>
    </row>
    <row r="537">
      <c r="G537" s="47"/>
    </row>
    <row r="538">
      <c r="G538" s="47"/>
    </row>
    <row r="539">
      <c r="G539" s="47"/>
    </row>
    <row r="540">
      <c r="G540" s="47"/>
    </row>
    <row r="541">
      <c r="G541" s="47"/>
    </row>
    <row r="542">
      <c r="G542" s="47"/>
    </row>
    <row r="543">
      <c r="G543" s="47"/>
    </row>
    <row r="544">
      <c r="G544" s="47"/>
    </row>
    <row r="545">
      <c r="G545" s="47"/>
    </row>
    <row r="546">
      <c r="G546" s="47"/>
    </row>
    <row r="547">
      <c r="G547" s="47"/>
    </row>
    <row r="548">
      <c r="G548" s="47"/>
    </row>
    <row r="549">
      <c r="G549" s="47"/>
    </row>
    <row r="550">
      <c r="G550" s="47"/>
    </row>
    <row r="551">
      <c r="G551" s="47"/>
    </row>
    <row r="552">
      <c r="G552" s="47"/>
    </row>
    <row r="553">
      <c r="G553" s="47"/>
    </row>
    <row r="554">
      <c r="G554" s="47"/>
    </row>
    <row r="555">
      <c r="G555" s="47"/>
    </row>
    <row r="556">
      <c r="G556" s="47"/>
    </row>
    <row r="557">
      <c r="G557" s="47"/>
    </row>
    <row r="558">
      <c r="G558" s="47"/>
    </row>
    <row r="559">
      <c r="G559" s="47"/>
    </row>
    <row r="560">
      <c r="G560" s="47"/>
    </row>
    <row r="561">
      <c r="G561" s="47"/>
    </row>
    <row r="562">
      <c r="G562" s="47"/>
    </row>
    <row r="563">
      <c r="G563" s="47"/>
    </row>
    <row r="564">
      <c r="G564" s="47"/>
    </row>
    <row r="565">
      <c r="G565" s="47"/>
    </row>
    <row r="566">
      <c r="G566" s="47"/>
    </row>
    <row r="567">
      <c r="G567" s="47"/>
    </row>
    <row r="568">
      <c r="G568" s="47"/>
    </row>
    <row r="569">
      <c r="G569" s="47"/>
    </row>
    <row r="570">
      <c r="G570" s="47"/>
    </row>
    <row r="571">
      <c r="G571" s="47"/>
    </row>
    <row r="572">
      <c r="G572" s="47"/>
    </row>
    <row r="573">
      <c r="G573" s="47"/>
    </row>
    <row r="574">
      <c r="G574" s="47"/>
    </row>
    <row r="575">
      <c r="G575" s="47"/>
    </row>
    <row r="576">
      <c r="G576" s="47"/>
    </row>
    <row r="577">
      <c r="G577" s="47"/>
    </row>
    <row r="578">
      <c r="G578" s="47"/>
    </row>
    <row r="579">
      <c r="G579" s="47"/>
    </row>
    <row r="580">
      <c r="G580" s="47"/>
    </row>
    <row r="581">
      <c r="G581" s="47"/>
    </row>
    <row r="582">
      <c r="G582" s="47"/>
    </row>
    <row r="583">
      <c r="G583" s="47"/>
    </row>
    <row r="584">
      <c r="G584" s="47"/>
    </row>
    <row r="585">
      <c r="G585" s="47"/>
    </row>
    <row r="586">
      <c r="G586" s="47"/>
    </row>
    <row r="587">
      <c r="G587" s="47"/>
    </row>
    <row r="588">
      <c r="G588" s="47"/>
    </row>
    <row r="589">
      <c r="G589" s="47"/>
    </row>
    <row r="590">
      <c r="G590" s="47"/>
    </row>
    <row r="591">
      <c r="G591" s="47"/>
    </row>
    <row r="592">
      <c r="G592" s="47"/>
    </row>
    <row r="593">
      <c r="G593" s="47"/>
    </row>
    <row r="594">
      <c r="G594" s="47"/>
    </row>
    <row r="595">
      <c r="G595" s="47"/>
    </row>
    <row r="596">
      <c r="G596" s="47"/>
    </row>
    <row r="597">
      <c r="G597" s="47"/>
    </row>
    <row r="598">
      <c r="G598" s="47"/>
    </row>
    <row r="599">
      <c r="G599" s="47"/>
    </row>
    <row r="600">
      <c r="G600" s="47"/>
    </row>
    <row r="601">
      <c r="G601" s="47"/>
    </row>
    <row r="602">
      <c r="G602" s="47"/>
    </row>
    <row r="603">
      <c r="G603" s="47"/>
    </row>
    <row r="604">
      <c r="G604" s="47"/>
    </row>
    <row r="605">
      <c r="G605" s="47"/>
    </row>
    <row r="606">
      <c r="G606" s="47"/>
    </row>
    <row r="607">
      <c r="G607" s="47"/>
    </row>
    <row r="608">
      <c r="G608" s="47"/>
    </row>
    <row r="609">
      <c r="G609" s="47"/>
    </row>
    <row r="610">
      <c r="G610" s="47"/>
    </row>
    <row r="611">
      <c r="G611" s="47"/>
    </row>
    <row r="612">
      <c r="G612" s="47"/>
    </row>
    <row r="613">
      <c r="G613" s="47"/>
    </row>
    <row r="614">
      <c r="G614" s="47"/>
    </row>
    <row r="615">
      <c r="G615" s="47"/>
    </row>
    <row r="616">
      <c r="G616" s="47"/>
    </row>
    <row r="617">
      <c r="G617" s="47"/>
    </row>
    <row r="618">
      <c r="G618" s="47"/>
    </row>
    <row r="619">
      <c r="G619" s="47"/>
    </row>
    <row r="620">
      <c r="G620" s="47"/>
    </row>
    <row r="621">
      <c r="G621" s="47"/>
    </row>
    <row r="622">
      <c r="G622" s="47"/>
    </row>
    <row r="623">
      <c r="G623" s="47"/>
    </row>
    <row r="624">
      <c r="G624" s="47"/>
    </row>
    <row r="625">
      <c r="G625" s="47"/>
    </row>
    <row r="626">
      <c r="G626" s="47"/>
    </row>
    <row r="627">
      <c r="G627" s="47"/>
    </row>
    <row r="628">
      <c r="G628" s="47"/>
    </row>
    <row r="629">
      <c r="G629" s="47"/>
    </row>
    <row r="630">
      <c r="G630" s="47"/>
    </row>
    <row r="631">
      <c r="G631" s="47"/>
    </row>
    <row r="632">
      <c r="G632" s="47"/>
    </row>
    <row r="633">
      <c r="G633" s="47"/>
    </row>
    <row r="634">
      <c r="G634" s="47"/>
    </row>
    <row r="635">
      <c r="G635" s="47"/>
    </row>
    <row r="636">
      <c r="G636" s="47"/>
    </row>
    <row r="637">
      <c r="G637" s="47"/>
    </row>
    <row r="638">
      <c r="G638" s="47"/>
    </row>
    <row r="639">
      <c r="G639" s="47"/>
    </row>
    <row r="640">
      <c r="G640" s="47"/>
    </row>
    <row r="641">
      <c r="G641" s="47"/>
    </row>
    <row r="642">
      <c r="G642" s="47"/>
    </row>
    <row r="643">
      <c r="G643" s="47"/>
    </row>
    <row r="644">
      <c r="G644" s="47"/>
    </row>
    <row r="645">
      <c r="G645" s="47"/>
    </row>
    <row r="646">
      <c r="G646" s="47"/>
    </row>
    <row r="647">
      <c r="G647" s="47"/>
    </row>
    <row r="648">
      <c r="G648" s="47"/>
    </row>
    <row r="649">
      <c r="G649" s="47"/>
    </row>
    <row r="650">
      <c r="G650" s="47"/>
    </row>
    <row r="651">
      <c r="G651" s="47"/>
    </row>
    <row r="652">
      <c r="G652" s="47"/>
    </row>
    <row r="653">
      <c r="G653" s="47"/>
    </row>
    <row r="654">
      <c r="G654" s="47"/>
    </row>
    <row r="655">
      <c r="G655" s="47"/>
    </row>
    <row r="656">
      <c r="G656" s="47"/>
    </row>
    <row r="657">
      <c r="G657" s="47"/>
    </row>
    <row r="658">
      <c r="G658" s="47"/>
    </row>
    <row r="659">
      <c r="G659" s="47"/>
    </row>
    <row r="660">
      <c r="G660" s="47"/>
    </row>
    <row r="661">
      <c r="G661" s="47"/>
    </row>
    <row r="662">
      <c r="G662" s="47"/>
    </row>
    <row r="663">
      <c r="G663" s="47"/>
    </row>
    <row r="664">
      <c r="G664" s="47"/>
    </row>
    <row r="665">
      <c r="G665" s="47"/>
    </row>
    <row r="666">
      <c r="G666" s="47"/>
    </row>
    <row r="667">
      <c r="G667" s="47"/>
    </row>
    <row r="668">
      <c r="G668" s="47"/>
    </row>
    <row r="669">
      <c r="G669" s="47"/>
    </row>
    <row r="670">
      <c r="G670" s="47"/>
    </row>
    <row r="671">
      <c r="G671" s="47"/>
    </row>
    <row r="672">
      <c r="G672" s="47"/>
    </row>
    <row r="673">
      <c r="G673" s="47"/>
    </row>
    <row r="674">
      <c r="G674" s="47"/>
    </row>
    <row r="675">
      <c r="G675" s="47"/>
    </row>
    <row r="676">
      <c r="G676" s="47"/>
    </row>
    <row r="677">
      <c r="G677" s="47"/>
    </row>
    <row r="678">
      <c r="G678" s="47"/>
    </row>
    <row r="679">
      <c r="G679" s="47"/>
    </row>
    <row r="680">
      <c r="G680" s="47"/>
    </row>
    <row r="681">
      <c r="G681" s="47"/>
    </row>
    <row r="682">
      <c r="G682" s="47"/>
    </row>
    <row r="683">
      <c r="G683" s="47"/>
    </row>
    <row r="684">
      <c r="G684" s="47"/>
    </row>
    <row r="685">
      <c r="G685" s="47"/>
    </row>
    <row r="686">
      <c r="G686" s="47"/>
    </row>
    <row r="687">
      <c r="G687" s="47"/>
    </row>
    <row r="688">
      <c r="G688" s="47"/>
    </row>
    <row r="689">
      <c r="G689" s="47"/>
    </row>
    <row r="690">
      <c r="G690" s="47"/>
    </row>
    <row r="691">
      <c r="G691" s="47"/>
    </row>
    <row r="692">
      <c r="G692" s="47"/>
    </row>
    <row r="693">
      <c r="G693" s="47"/>
    </row>
    <row r="694">
      <c r="G694" s="47"/>
    </row>
    <row r="695">
      <c r="G695" s="47"/>
    </row>
    <row r="696">
      <c r="G696" s="47"/>
    </row>
    <row r="697">
      <c r="G697" s="47"/>
    </row>
    <row r="698">
      <c r="G698" s="47"/>
    </row>
    <row r="699">
      <c r="G699" s="47"/>
    </row>
    <row r="700">
      <c r="G700" s="47"/>
    </row>
    <row r="701">
      <c r="G701" s="47"/>
    </row>
    <row r="702">
      <c r="G702" s="47"/>
    </row>
    <row r="703">
      <c r="G703" s="47"/>
    </row>
    <row r="704">
      <c r="G704" s="47"/>
    </row>
    <row r="705">
      <c r="G705" s="47"/>
    </row>
    <row r="706">
      <c r="G706" s="47"/>
    </row>
    <row r="707">
      <c r="G707" s="47"/>
    </row>
    <row r="708">
      <c r="G708" s="47"/>
    </row>
    <row r="709">
      <c r="G709" s="47"/>
    </row>
    <row r="710">
      <c r="G710" s="47"/>
    </row>
    <row r="711">
      <c r="G711" s="47"/>
    </row>
    <row r="712">
      <c r="G712" s="47"/>
    </row>
    <row r="713">
      <c r="G713" s="47"/>
    </row>
    <row r="714">
      <c r="G714" s="47"/>
    </row>
    <row r="715">
      <c r="G715" s="47"/>
    </row>
    <row r="716">
      <c r="G716" s="47"/>
    </row>
    <row r="717">
      <c r="G717" s="47"/>
    </row>
    <row r="718">
      <c r="G718" s="47"/>
    </row>
    <row r="719">
      <c r="G719" s="47"/>
    </row>
    <row r="720">
      <c r="G720" s="47"/>
    </row>
    <row r="721">
      <c r="G721" s="47"/>
    </row>
    <row r="722">
      <c r="G722" s="47"/>
    </row>
    <row r="723">
      <c r="G723" s="47"/>
    </row>
    <row r="724">
      <c r="G724" s="47"/>
    </row>
    <row r="725">
      <c r="G725" s="47"/>
    </row>
    <row r="726">
      <c r="G726" s="47"/>
    </row>
    <row r="727">
      <c r="G727" s="47"/>
    </row>
    <row r="728">
      <c r="G728" s="47"/>
    </row>
    <row r="729">
      <c r="G729" s="47"/>
    </row>
    <row r="730">
      <c r="G730" s="47"/>
    </row>
    <row r="731">
      <c r="G731" s="47"/>
    </row>
    <row r="732">
      <c r="G732" s="47"/>
    </row>
    <row r="733">
      <c r="G733" s="47"/>
    </row>
    <row r="734">
      <c r="G734" s="47"/>
    </row>
    <row r="735">
      <c r="G735" s="47"/>
    </row>
    <row r="736">
      <c r="G736" s="47"/>
    </row>
    <row r="737">
      <c r="G737" s="47"/>
    </row>
    <row r="738">
      <c r="G738" s="47"/>
    </row>
    <row r="739">
      <c r="G739" s="47"/>
    </row>
    <row r="740">
      <c r="G740" s="47"/>
    </row>
    <row r="741">
      <c r="G741" s="47"/>
    </row>
    <row r="742">
      <c r="G742" s="47"/>
    </row>
    <row r="743">
      <c r="G743" s="47"/>
    </row>
    <row r="744">
      <c r="G744" s="47"/>
    </row>
    <row r="745">
      <c r="G745" s="47"/>
    </row>
    <row r="746">
      <c r="G746" s="47"/>
    </row>
    <row r="747">
      <c r="G747" s="47"/>
    </row>
    <row r="748">
      <c r="G748" s="47"/>
    </row>
    <row r="749">
      <c r="G749" s="47"/>
    </row>
    <row r="750">
      <c r="G750" s="47"/>
    </row>
    <row r="751">
      <c r="G751" s="47"/>
    </row>
    <row r="752">
      <c r="G752" s="47"/>
    </row>
    <row r="753">
      <c r="G753" s="47"/>
    </row>
    <row r="754">
      <c r="G754" s="47"/>
    </row>
    <row r="755">
      <c r="G755" s="47"/>
    </row>
    <row r="756">
      <c r="G756" s="47"/>
    </row>
    <row r="757">
      <c r="G757" s="47"/>
    </row>
    <row r="758">
      <c r="G758" s="47"/>
    </row>
    <row r="759">
      <c r="G759" s="47"/>
    </row>
    <row r="760">
      <c r="G760" s="47"/>
    </row>
    <row r="761">
      <c r="G761" s="47"/>
    </row>
    <row r="762">
      <c r="G762" s="47"/>
    </row>
    <row r="763">
      <c r="G763" s="47"/>
    </row>
    <row r="764">
      <c r="G764" s="47"/>
    </row>
    <row r="765">
      <c r="G765" s="47"/>
    </row>
    <row r="766">
      <c r="G766" s="47"/>
    </row>
    <row r="767">
      <c r="G767" s="47"/>
    </row>
    <row r="768">
      <c r="G768" s="47"/>
    </row>
    <row r="769">
      <c r="G769" s="47"/>
    </row>
    <row r="770">
      <c r="G770" s="47"/>
    </row>
    <row r="771">
      <c r="G771" s="47"/>
    </row>
    <row r="772">
      <c r="G772" s="47"/>
    </row>
    <row r="773">
      <c r="G773" s="47"/>
    </row>
    <row r="774">
      <c r="G774" s="47"/>
    </row>
    <row r="775">
      <c r="G775" s="47"/>
    </row>
    <row r="776">
      <c r="G776" s="47"/>
    </row>
    <row r="777">
      <c r="G777" s="47"/>
    </row>
    <row r="778">
      <c r="G778" s="47"/>
    </row>
    <row r="779">
      <c r="G779" s="47"/>
    </row>
    <row r="780">
      <c r="G780" s="47"/>
    </row>
    <row r="781">
      <c r="G781" s="47"/>
    </row>
    <row r="782">
      <c r="G782" s="47"/>
    </row>
    <row r="783">
      <c r="G783" s="47"/>
    </row>
    <row r="784">
      <c r="G784" s="47"/>
    </row>
    <row r="785">
      <c r="G785" s="47"/>
    </row>
    <row r="786">
      <c r="G786" s="47"/>
    </row>
    <row r="787">
      <c r="G787" s="47"/>
    </row>
    <row r="788">
      <c r="G788" s="47"/>
    </row>
    <row r="789">
      <c r="G789" s="47"/>
    </row>
    <row r="790">
      <c r="G790" s="47"/>
    </row>
    <row r="791">
      <c r="G791" s="47"/>
    </row>
    <row r="792">
      <c r="G792" s="47"/>
    </row>
    <row r="793">
      <c r="G793" s="47"/>
    </row>
    <row r="794">
      <c r="G794" s="47"/>
    </row>
    <row r="795">
      <c r="G795" s="47"/>
    </row>
    <row r="796">
      <c r="G796" s="47"/>
    </row>
    <row r="797">
      <c r="G797" s="47"/>
    </row>
    <row r="798">
      <c r="G798" s="47"/>
    </row>
    <row r="799">
      <c r="G799" s="47"/>
    </row>
    <row r="800">
      <c r="G800" s="47"/>
    </row>
    <row r="801">
      <c r="G801" s="47"/>
    </row>
    <row r="802">
      <c r="G802" s="47"/>
    </row>
    <row r="803">
      <c r="G803" s="47"/>
    </row>
    <row r="804">
      <c r="G804" s="47"/>
    </row>
    <row r="805">
      <c r="G805" s="47"/>
    </row>
    <row r="806">
      <c r="G806" s="47"/>
    </row>
    <row r="807">
      <c r="G807" s="47"/>
    </row>
    <row r="808">
      <c r="G808" s="47"/>
    </row>
    <row r="809">
      <c r="G809" s="47"/>
    </row>
    <row r="810">
      <c r="G810" s="47"/>
    </row>
    <row r="811">
      <c r="G811" s="47"/>
    </row>
    <row r="812">
      <c r="G812" s="47"/>
    </row>
    <row r="813">
      <c r="G813" s="47"/>
    </row>
    <row r="814">
      <c r="G814" s="47"/>
    </row>
    <row r="815">
      <c r="G815" s="47"/>
    </row>
    <row r="816">
      <c r="G816" s="47"/>
    </row>
    <row r="817">
      <c r="G817" s="47"/>
    </row>
    <row r="818">
      <c r="G818" s="47"/>
    </row>
    <row r="819">
      <c r="G819" s="47"/>
    </row>
    <row r="820">
      <c r="G820" s="47"/>
    </row>
    <row r="821">
      <c r="G821" s="47"/>
    </row>
    <row r="822">
      <c r="G822" s="47"/>
    </row>
    <row r="823">
      <c r="G823" s="47"/>
    </row>
    <row r="824">
      <c r="G824" s="47"/>
    </row>
    <row r="825">
      <c r="G825" s="47"/>
    </row>
    <row r="826">
      <c r="G826" s="47"/>
    </row>
    <row r="827">
      <c r="G827" s="47"/>
    </row>
    <row r="828">
      <c r="G828" s="47"/>
    </row>
    <row r="829">
      <c r="G829" s="47"/>
    </row>
    <row r="830">
      <c r="G830" s="47"/>
    </row>
    <row r="831">
      <c r="G831" s="47"/>
    </row>
    <row r="832">
      <c r="G832" s="47"/>
    </row>
    <row r="833">
      <c r="G833" s="47"/>
    </row>
    <row r="834">
      <c r="G834" s="47"/>
    </row>
    <row r="835">
      <c r="G835" s="47"/>
    </row>
    <row r="836">
      <c r="G836" s="47"/>
    </row>
    <row r="837">
      <c r="G837" s="47"/>
    </row>
    <row r="838">
      <c r="G838" s="47"/>
    </row>
    <row r="839">
      <c r="G839" s="47"/>
    </row>
    <row r="840">
      <c r="G840" s="47"/>
    </row>
    <row r="841">
      <c r="G841" s="47"/>
    </row>
    <row r="842">
      <c r="G842" s="47"/>
    </row>
    <row r="843">
      <c r="G843" s="47"/>
    </row>
    <row r="844">
      <c r="G844" s="47"/>
    </row>
    <row r="845">
      <c r="G845" s="47"/>
    </row>
    <row r="846">
      <c r="G846" s="47"/>
    </row>
    <row r="847">
      <c r="G847" s="47"/>
    </row>
    <row r="848">
      <c r="G848" s="47"/>
    </row>
    <row r="849">
      <c r="G849" s="47"/>
    </row>
    <row r="850">
      <c r="G850" s="47"/>
    </row>
    <row r="851">
      <c r="G851" s="47"/>
    </row>
    <row r="852">
      <c r="G852" s="47"/>
    </row>
    <row r="853">
      <c r="G853" s="47"/>
    </row>
    <row r="854">
      <c r="G854" s="47"/>
    </row>
    <row r="855">
      <c r="G855" s="47"/>
    </row>
    <row r="856">
      <c r="G856" s="47"/>
    </row>
    <row r="857">
      <c r="G857" s="47"/>
    </row>
    <row r="858">
      <c r="G858" s="47"/>
    </row>
    <row r="859">
      <c r="G859" s="47"/>
    </row>
    <row r="860">
      <c r="G860" s="47"/>
    </row>
    <row r="861">
      <c r="G861" s="47"/>
    </row>
    <row r="862">
      <c r="G862" s="47"/>
    </row>
    <row r="863">
      <c r="G863" s="47"/>
    </row>
    <row r="864">
      <c r="G864" s="47"/>
    </row>
    <row r="865">
      <c r="G865" s="47"/>
    </row>
    <row r="866">
      <c r="G866" s="47"/>
    </row>
    <row r="867">
      <c r="G867" s="47"/>
    </row>
    <row r="868">
      <c r="G868" s="47"/>
    </row>
    <row r="869">
      <c r="G869" s="47"/>
    </row>
    <row r="870">
      <c r="G870" s="47"/>
    </row>
    <row r="871">
      <c r="G871" s="47"/>
    </row>
    <row r="872">
      <c r="G872" s="47"/>
    </row>
    <row r="873">
      <c r="G873" s="47"/>
    </row>
    <row r="874">
      <c r="G874" s="47"/>
    </row>
    <row r="875">
      <c r="G875" s="47"/>
    </row>
    <row r="876">
      <c r="G876" s="47"/>
    </row>
    <row r="877">
      <c r="G877" s="47"/>
    </row>
    <row r="878">
      <c r="G878" s="47"/>
    </row>
    <row r="879">
      <c r="G879" s="47"/>
    </row>
    <row r="880">
      <c r="G880" s="47"/>
    </row>
    <row r="881">
      <c r="G881" s="47"/>
    </row>
    <row r="882">
      <c r="G882" s="47"/>
    </row>
    <row r="883">
      <c r="G883" s="47"/>
    </row>
    <row r="884">
      <c r="G884" s="47"/>
    </row>
    <row r="885">
      <c r="G885" s="47"/>
    </row>
    <row r="886">
      <c r="G886" s="47"/>
    </row>
    <row r="887">
      <c r="G887" s="47"/>
    </row>
    <row r="888">
      <c r="G888" s="47"/>
    </row>
    <row r="889">
      <c r="G889" s="47"/>
    </row>
    <row r="890">
      <c r="G890" s="47"/>
    </row>
    <row r="891">
      <c r="G891" s="47"/>
    </row>
    <row r="892">
      <c r="G892" s="47"/>
    </row>
    <row r="893">
      <c r="G893" s="47"/>
    </row>
    <row r="894">
      <c r="G894" s="47"/>
    </row>
    <row r="895">
      <c r="G895" s="47"/>
    </row>
    <row r="896">
      <c r="G896" s="47"/>
    </row>
    <row r="897">
      <c r="G897" s="47"/>
    </row>
    <row r="898">
      <c r="G898" s="47"/>
    </row>
    <row r="899">
      <c r="G899" s="47"/>
    </row>
    <row r="900">
      <c r="G900" s="47"/>
    </row>
    <row r="901">
      <c r="G901" s="47"/>
    </row>
    <row r="902">
      <c r="G902" s="47"/>
    </row>
    <row r="903">
      <c r="G903" s="47"/>
    </row>
    <row r="904">
      <c r="G904" s="47"/>
    </row>
    <row r="905">
      <c r="G905" s="47"/>
    </row>
    <row r="906">
      <c r="G906" s="47"/>
    </row>
    <row r="907">
      <c r="G907" s="47"/>
    </row>
    <row r="908">
      <c r="G908" s="47"/>
    </row>
    <row r="909">
      <c r="G909" s="47"/>
    </row>
    <row r="910">
      <c r="G910" s="47"/>
    </row>
    <row r="911">
      <c r="G911" s="47"/>
    </row>
    <row r="912">
      <c r="G912" s="47"/>
    </row>
    <row r="913">
      <c r="G913" s="47"/>
    </row>
    <row r="914">
      <c r="G914" s="47"/>
    </row>
    <row r="915">
      <c r="G915" s="47"/>
    </row>
    <row r="916">
      <c r="G916" s="47"/>
    </row>
    <row r="917">
      <c r="G917" s="47"/>
    </row>
    <row r="918">
      <c r="G918" s="47"/>
    </row>
    <row r="919">
      <c r="G919" s="47"/>
    </row>
    <row r="920">
      <c r="G920" s="47"/>
    </row>
    <row r="921">
      <c r="G921" s="47"/>
    </row>
    <row r="922">
      <c r="G922" s="47"/>
    </row>
    <row r="923">
      <c r="G923" s="47"/>
    </row>
    <row r="924">
      <c r="G924" s="47"/>
    </row>
    <row r="925">
      <c r="G925" s="47"/>
    </row>
    <row r="926">
      <c r="G926" s="47"/>
    </row>
    <row r="927">
      <c r="G927" s="47"/>
    </row>
    <row r="928">
      <c r="G928" s="47"/>
    </row>
    <row r="929">
      <c r="G929" s="47"/>
    </row>
    <row r="930">
      <c r="G930" s="47"/>
    </row>
    <row r="931">
      <c r="G931" s="47"/>
    </row>
    <row r="932">
      <c r="G932" s="47"/>
    </row>
    <row r="933">
      <c r="G933" s="47"/>
    </row>
    <row r="934">
      <c r="G934" s="47"/>
    </row>
    <row r="935">
      <c r="G935" s="47"/>
    </row>
    <row r="936">
      <c r="G936" s="47"/>
    </row>
    <row r="937">
      <c r="G937" s="47"/>
    </row>
    <row r="938">
      <c r="G938" s="47"/>
    </row>
    <row r="939">
      <c r="G939" s="47"/>
    </row>
    <row r="940">
      <c r="G940" s="47"/>
    </row>
    <row r="941">
      <c r="G941" s="47"/>
    </row>
    <row r="942">
      <c r="G942" s="47"/>
    </row>
    <row r="943">
      <c r="G943" s="47"/>
    </row>
    <row r="944">
      <c r="G944" s="47"/>
    </row>
    <row r="945">
      <c r="G945" s="47"/>
    </row>
    <row r="946">
      <c r="G946" s="47"/>
    </row>
    <row r="947">
      <c r="G947" s="47"/>
    </row>
    <row r="948">
      <c r="G948" s="47"/>
    </row>
    <row r="949">
      <c r="G949" s="47"/>
    </row>
    <row r="950">
      <c r="G950" s="47"/>
    </row>
    <row r="951">
      <c r="G951" s="47"/>
    </row>
    <row r="952">
      <c r="G952" s="47"/>
    </row>
    <row r="953">
      <c r="G953" s="47"/>
    </row>
    <row r="954">
      <c r="G954" s="47"/>
    </row>
    <row r="955">
      <c r="G955" s="47"/>
    </row>
    <row r="956">
      <c r="G956" s="47"/>
    </row>
    <row r="957">
      <c r="G957" s="47"/>
    </row>
    <row r="958">
      <c r="G958" s="47"/>
    </row>
    <row r="959">
      <c r="G959" s="47"/>
    </row>
    <row r="960">
      <c r="G960" s="47"/>
    </row>
    <row r="961">
      <c r="G961" s="47"/>
    </row>
    <row r="962">
      <c r="G962" s="47"/>
    </row>
    <row r="963">
      <c r="G963" s="47"/>
    </row>
    <row r="964">
      <c r="G964" s="47"/>
    </row>
    <row r="965">
      <c r="G965" s="47"/>
    </row>
    <row r="966">
      <c r="G966" s="47"/>
    </row>
    <row r="967">
      <c r="G967" s="47"/>
    </row>
    <row r="968">
      <c r="G968" s="47"/>
    </row>
    <row r="969">
      <c r="G969" s="47"/>
    </row>
    <row r="970">
      <c r="G970" s="47"/>
    </row>
    <row r="971">
      <c r="G971" s="47"/>
    </row>
    <row r="972">
      <c r="G972" s="47"/>
    </row>
    <row r="973">
      <c r="G973" s="47"/>
    </row>
    <row r="974">
      <c r="G974" s="47"/>
    </row>
    <row r="975">
      <c r="G975" s="47"/>
    </row>
    <row r="976">
      <c r="G976" s="47"/>
    </row>
    <row r="977">
      <c r="G977" s="47"/>
    </row>
    <row r="978">
      <c r="G978" s="47"/>
    </row>
    <row r="979">
      <c r="G979" s="47"/>
    </row>
    <row r="980">
      <c r="G980" s="47"/>
    </row>
    <row r="981">
      <c r="G981" s="47"/>
    </row>
    <row r="982">
      <c r="G982" s="47"/>
    </row>
    <row r="983">
      <c r="G983" s="47"/>
    </row>
    <row r="984">
      <c r="G984" s="47"/>
    </row>
    <row r="985">
      <c r="G985" s="47"/>
    </row>
    <row r="986">
      <c r="G986" s="47"/>
    </row>
    <row r="987">
      <c r="G987" s="47"/>
    </row>
    <row r="988">
      <c r="G988" s="47"/>
    </row>
    <row r="989">
      <c r="G989" s="47"/>
    </row>
    <row r="990">
      <c r="G990" s="47"/>
    </row>
    <row r="991">
      <c r="G991" s="47"/>
    </row>
    <row r="992">
      <c r="G992" s="47"/>
    </row>
    <row r="993">
      <c r="G993" s="47"/>
    </row>
    <row r="994">
      <c r="G994" s="47"/>
    </row>
    <row r="995">
      <c r="G995" s="47"/>
    </row>
    <row r="996">
      <c r="G996" s="47"/>
    </row>
    <row r="997">
      <c r="G997" s="47"/>
    </row>
    <row r="998">
      <c r="G998" s="47"/>
    </row>
    <row r="999">
      <c r="G999" s="47"/>
    </row>
    <row r="1000">
      <c r="G1000" s="47"/>
    </row>
  </sheetData>
  <mergeCells count="2">
    <mergeCell ref="B2:D2"/>
    <mergeCell ref="F2:H2"/>
  </mergeCells>
  <dataValidations>
    <dataValidation type="list" allowBlank="1" showErrorMessage="1" sqref="D4:D25 H4:H50">
      <formula1>"ACTIVE,INACTIVE"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12" max="12" width="24.0"/>
    <col customWidth="1" min="16" max="16" width="7.88"/>
  </cols>
  <sheetData>
    <row r="2">
      <c r="B2" s="153" t="s">
        <v>676</v>
      </c>
      <c r="C2" s="154"/>
      <c r="D2" s="154"/>
      <c r="E2" s="154"/>
      <c r="F2" s="154"/>
      <c r="G2" s="154"/>
      <c r="H2" s="154"/>
      <c r="I2" s="154"/>
      <c r="J2" s="154"/>
      <c r="K2" s="154"/>
      <c r="L2" s="154"/>
      <c r="M2" s="154"/>
      <c r="N2" s="154"/>
      <c r="O2" s="155"/>
    </row>
    <row r="3">
      <c r="B3" s="157" t="s">
        <v>677</v>
      </c>
      <c r="O3" s="158"/>
    </row>
    <row r="4">
      <c r="B4" s="159"/>
      <c r="O4" s="158"/>
    </row>
    <row r="5">
      <c r="B5" s="160"/>
      <c r="C5" s="161"/>
      <c r="D5" s="161"/>
      <c r="E5" s="161"/>
      <c r="F5" s="161"/>
      <c r="G5" s="161"/>
      <c r="H5" s="161"/>
      <c r="I5" s="161"/>
      <c r="J5" s="161"/>
      <c r="K5" s="161"/>
      <c r="L5" s="161"/>
      <c r="M5" s="161"/>
      <c r="N5" s="161"/>
      <c r="O5" s="162"/>
    </row>
    <row r="6">
      <c r="L6" s="163" t="s">
        <v>679</v>
      </c>
      <c r="M6" s="164" t="s">
        <v>680</v>
      </c>
    </row>
    <row r="7">
      <c r="B7" s="165" t="s">
        <v>681</v>
      </c>
      <c r="E7" s="72" t="s">
        <v>682</v>
      </c>
      <c r="G7" s="124"/>
      <c r="H7" s="124"/>
      <c r="L7" s="166" t="s">
        <v>683</v>
      </c>
    </row>
    <row r="8">
      <c r="B8" s="167" t="s">
        <v>684</v>
      </c>
      <c r="C8" s="168" t="s">
        <v>685</v>
      </c>
      <c r="L8" s="166" t="s">
        <v>686</v>
      </c>
    </row>
    <row r="9">
      <c r="B9" s="170" t="s">
        <v>127</v>
      </c>
      <c r="C9" s="168" t="s">
        <v>688</v>
      </c>
      <c r="L9" s="166" t="s">
        <v>689</v>
      </c>
    </row>
    <row r="10">
      <c r="B10" s="173" t="s">
        <v>692</v>
      </c>
      <c r="C10" s="174" t="s">
        <v>693</v>
      </c>
      <c r="L10" s="166" t="s">
        <v>580</v>
      </c>
    </row>
    <row r="11">
      <c r="B11" s="176" t="s">
        <v>369</v>
      </c>
      <c r="C11" s="174" t="s">
        <v>695</v>
      </c>
    </row>
    <row r="12">
      <c r="B12" s="179" t="s">
        <v>696</v>
      </c>
      <c r="C12" s="16"/>
      <c r="D12" s="16"/>
      <c r="E12" s="16"/>
      <c r="F12" s="16"/>
      <c r="G12" s="16"/>
      <c r="H12" s="17"/>
      <c r="I12" s="180" t="s">
        <v>700</v>
      </c>
      <c r="J12" s="16"/>
      <c r="K12" s="16"/>
      <c r="L12" s="16"/>
      <c r="M12" s="16"/>
      <c r="N12" s="16"/>
      <c r="O12" s="17"/>
    </row>
    <row r="13">
      <c r="B13" s="182" t="s">
        <v>702</v>
      </c>
      <c r="H13" s="183"/>
      <c r="I13" s="182" t="s">
        <v>703</v>
      </c>
      <c r="O13" s="183"/>
    </row>
    <row r="14">
      <c r="B14" s="44"/>
      <c r="H14" s="183"/>
      <c r="I14" s="44"/>
      <c r="O14" s="183"/>
    </row>
    <row r="15">
      <c r="B15" s="44"/>
      <c r="H15" s="183"/>
      <c r="I15" s="44"/>
      <c r="O15" s="183"/>
    </row>
    <row r="16" ht="42.0" customHeight="1">
      <c r="B16" s="185"/>
      <c r="C16" s="186"/>
      <c r="D16" s="186"/>
      <c r="E16" s="186"/>
      <c r="F16" s="186"/>
      <c r="G16" s="186"/>
      <c r="H16" s="187"/>
      <c r="I16" s="185"/>
      <c r="J16" s="186"/>
      <c r="K16" s="186"/>
      <c r="L16" s="186"/>
      <c r="M16" s="186"/>
      <c r="N16" s="186"/>
      <c r="O16" s="187"/>
    </row>
    <row r="17">
      <c r="B17" s="179" t="s">
        <v>706</v>
      </c>
      <c r="C17" s="16"/>
      <c r="D17" s="16"/>
      <c r="E17" s="16"/>
      <c r="F17" s="16"/>
      <c r="G17" s="16"/>
      <c r="H17" s="17"/>
      <c r="I17" s="180" t="s">
        <v>707</v>
      </c>
      <c r="J17" s="16"/>
      <c r="K17" s="16"/>
      <c r="L17" s="16"/>
      <c r="M17" s="16"/>
      <c r="N17" s="16"/>
      <c r="O17" s="17"/>
    </row>
    <row r="18">
      <c r="B18" s="182" t="s">
        <v>709</v>
      </c>
      <c r="H18" s="183"/>
      <c r="I18" s="182" t="s">
        <v>710</v>
      </c>
      <c r="O18" s="183"/>
    </row>
    <row r="19">
      <c r="B19" s="44"/>
      <c r="H19" s="183"/>
      <c r="I19" s="44"/>
      <c r="O19" s="183"/>
    </row>
    <row r="20">
      <c r="B20" s="44"/>
      <c r="H20" s="183"/>
      <c r="I20" s="44"/>
      <c r="O20" s="183"/>
    </row>
    <row r="21">
      <c r="B21" s="44"/>
      <c r="H21" s="183"/>
      <c r="I21" s="44"/>
      <c r="O21" s="183"/>
    </row>
    <row r="22">
      <c r="B22" s="44"/>
      <c r="H22" s="183"/>
      <c r="I22" s="44"/>
      <c r="O22" s="183"/>
    </row>
    <row r="23">
      <c r="B23" s="44"/>
      <c r="H23" s="183"/>
      <c r="I23" s="185"/>
      <c r="J23" s="186"/>
      <c r="K23" s="186"/>
      <c r="L23" s="186"/>
      <c r="M23" s="186"/>
      <c r="N23" s="186"/>
      <c r="O23" s="187"/>
    </row>
    <row r="24" ht="32.25" customHeight="1">
      <c r="B24" s="44"/>
      <c r="H24" s="183"/>
      <c r="I24" s="182" t="s">
        <v>712</v>
      </c>
      <c r="O24" s="183"/>
    </row>
    <row r="25">
      <c r="B25" s="44"/>
      <c r="H25" s="183"/>
      <c r="I25" s="44"/>
      <c r="O25" s="183"/>
    </row>
    <row r="26">
      <c r="B26" s="44"/>
      <c r="H26" s="183"/>
      <c r="I26" s="44"/>
      <c r="O26" s="183"/>
    </row>
    <row r="27">
      <c r="B27" s="44"/>
      <c r="H27" s="183"/>
      <c r="I27" s="44"/>
      <c r="O27" s="183"/>
    </row>
    <row r="28" ht="62.25" customHeight="1">
      <c r="B28" s="185"/>
      <c r="C28" s="186"/>
      <c r="D28" s="186"/>
      <c r="E28" s="186"/>
      <c r="F28" s="186"/>
      <c r="G28" s="186"/>
      <c r="H28" s="187"/>
      <c r="I28" s="185"/>
      <c r="J28" s="186"/>
      <c r="K28" s="186"/>
      <c r="L28" s="186"/>
      <c r="M28" s="186"/>
      <c r="N28" s="186"/>
      <c r="O28" s="187"/>
    </row>
    <row r="29">
      <c r="B29" s="190" t="s">
        <v>717</v>
      </c>
      <c r="O29" s="183"/>
    </row>
    <row r="30" ht="66.0" customHeight="1">
      <c r="B30" s="192" t="s">
        <v>718</v>
      </c>
      <c r="C30" s="186"/>
      <c r="D30" s="186"/>
      <c r="E30" s="186"/>
      <c r="F30" s="186"/>
      <c r="G30" s="186"/>
      <c r="H30" s="186"/>
      <c r="I30" s="186"/>
      <c r="J30" s="186"/>
      <c r="K30" s="186"/>
      <c r="L30" s="186"/>
      <c r="M30" s="186"/>
      <c r="N30" s="186"/>
      <c r="O30" s="187"/>
    </row>
    <row r="31">
      <c r="B31" s="195" t="s">
        <v>724</v>
      </c>
      <c r="C31" s="16"/>
      <c r="D31" s="16"/>
      <c r="E31" s="16"/>
      <c r="F31" s="16"/>
      <c r="G31" s="16"/>
      <c r="H31" s="16"/>
      <c r="I31" s="16"/>
      <c r="J31" s="16"/>
      <c r="K31" s="16"/>
      <c r="L31" s="16"/>
      <c r="M31" s="16"/>
      <c r="N31" s="16"/>
      <c r="O31" s="17"/>
    </row>
    <row r="32">
      <c r="B32" s="44"/>
      <c r="O32" s="183"/>
    </row>
    <row r="33">
      <c r="B33" s="200" t="s">
        <v>728</v>
      </c>
      <c r="C33" s="113"/>
      <c r="D33" s="114"/>
      <c r="E33" s="224" t="s">
        <v>730</v>
      </c>
      <c r="F33" s="113"/>
      <c r="G33" s="114"/>
      <c r="H33" s="227" t="s">
        <v>765</v>
      </c>
      <c r="I33" s="113"/>
      <c r="J33" s="114"/>
      <c r="K33" s="236" t="s">
        <v>767</v>
      </c>
      <c r="L33" s="114"/>
      <c r="M33" s="237" t="s">
        <v>779</v>
      </c>
      <c r="N33" s="113"/>
      <c r="O33" s="114"/>
    </row>
    <row r="34">
      <c r="B34" s="240" t="s">
        <v>780</v>
      </c>
      <c r="D34" s="183"/>
      <c r="E34" s="240" t="s">
        <v>783</v>
      </c>
      <c r="G34" s="183"/>
      <c r="H34" s="240" t="s">
        <v>785</v>
      </c>
      <c r="J34" s="183"/>
      <c r="K34" s="240" t="s">
        <v>787</v>
      </c>
      <c r="L34" s="183"/>
      <c r="M34" s="245" t="s">
        <v>788</v>
      </c>
      <c r="O34" s="183"/>
    </row>
    <row r="35" ht="44.25" customHeight="1">
      <c r="B35" s="240" t="s">
        <v>790</v>
      </c>
      <c r="D35" s="183"/>
      <c r="E35" s="240" t="s">
        <v>791</v>
      </c>
      <c r="G35" s="183"/>
      <c r="H35" s="240" t="s">
        <v>794</v>
      </c>
      <c r="J35" s="183"/>
      <c r="K35" s="240" t="s">
        <v>795</v>
      </c>
      <c r="L35" s="183"/>
      <c r="M35" s="245" t="s">
        <v>796</v>
      </c>
      <c r="O35" s="183"/>
    </row>
    <row r="36" ht="45.75" customHeight="1">
      <c r="B36" s="240" t="s">
        <v>797</v>
      </c>
      <c r="D36" s="183"/>
      <c r="E36" s="240" t="s">
        <v>801</v>
      </c>
      <c r="G36" s="183"/>
      <c r="H36" s="240" t="s">
        <v>803</v>
      </c>
      <c r="J36" s="183"/>
      <c r="K36" s="44"/>
      <c r="L36" s="183"/>
      <c r="M36" s="245" t="s">
        <v>804</v>
      </c>
      <c r="O36" s="183"/>
    </row>
    <row r="37" ht="31.5" customHeight="1">
      <c r="B37" s="240" t="s">
        <v>805</v>
      </c>
      <c r="D37" s="183"/>
      <c r="E37" s="252" t="s">
        <v>807</v>
      </c>
      <c r="G37" s="183"/>
      <c r="H37" s="240" t="s">
        <v>809</v>
      </c>
      <c r="J37" s="183"/>
      <c r="K37" s="240"/>
      <c r="L37" s="183"/>
      <c r="M37" s="256"/>
      <c r="N37" s="256"/>
      <c r="O37" s="258"/>
    </row>
    <row r="38" ht="34.5" customHeight="1">
      <c r="B38" s="240" t="s">
        <v>813</v>
      </c>
      <c r="D38" s="183"/>
      <c r="H38" s="44"/>
      <c r="J38" s="183"/>
      <c r="L38" s="263"/>
      <c r="M38" s="256"/>
      <c r="N38" s="256"/>
      <c r="O38" s="258"/>
    </row>
    <row r="39">
      <c r="B39" s="240" t="s">
        <v>818</v>
      </c>
      <c r="D39" s="183"/>
      <c r="H39" s="240" t="s">
        <v>820</v>
      </c>
      <c r="J39" s="183"/>
      <c r="K39" s="240"/>
      <c r="L39" s="263"/>
      <c r="M39" s="256"/>
      <c r="N39" s="256"/>
      <c r="O39" s="258"/>
    </row>
    <row r="40">
      <c r="B40" s="240" t="s">
        <v>822</v>
      </c>
      <c r="D40" s="183"/>
      <c r="E40" s="264"/>
      <c r="F40" s="256"/>
      <c r="G40" s="256"/>
      <c r="H40" s="44"/>
      <c r="J40" s="183"/>
      <c r="K40" s="240"/>
      <c r="L40" s="263"/>
      <c r="M40" s="256"/>
      <c r="N40" s="256"/>
      <c r="O40" s="258"/>
    </row>
    <row r="41">
      <c r="B41" s="266"/>
      <c r="D41" s="183"/>
      <c r="E41" s="266"/>
      <c r="F41" s="275"/>
      <c r="G41" s="275"/>
      <c r="H41" s="44"/>
      <c r="J41" s="183"/>
      <c r="K41" s="240"/>
      <c r="L41" s="263"/>
      <c r="M41" s="275"/>
      <c r="N41" s="275"/>
      <c r="O41" s="283"/>
    </row>
    <row r="42" ht="39.75" customHeight="1">
      <c r="B42" s="285"/>
      <c r="C42" s="289"/>
      <c r="D42" s="290"/>
      <c r="E42" s="285"/>
      <c r="F42" s="289"/>
      <c r="G42" s="290"/>
      <c r="H42" s="294"/>
      <c r="I42" s="296"/>
      <c r="J42" s="297"/>
      <c r="K42" s="285"/>
      <c r="L42" s="290"/>
      <c r="M42" s="289"/>
      <c r="N42" s="289"/>
      <c r="O42" s="290"/>
    </row>
    <row r="43">
      <c r="B43" s="301" t="s">
        <v>868</v>
      </c>
      <c r="G43" s="183"/>
      <c r="H43" s="302" t="s">
        <v>872</v>
      </c>
      <c r="O43" s="183"/>
    </row>
    <row r="44">
      <c r="B44" s="44"/>
      <c r="G44" s="183"/>
      <c r="H44" s="302" t="s">
        <v>873</v>
      </c>
      <c r="O44" s="183"/>
    </row>
    <row r="45">
      <c r="B45" s="44"/>
      <c r="G45" s="183"/>
      <c r="H45" s="302" t="s">
        <v>874</v>
      </c>
      <c r="O45" s="183"/>
    </row>
    <row r="46">
      <c r="B46" s="44"/>
      <c r="G46" s="183"/>
      <c r="H46" s="302" t="s">
        <v>875</v>
      </c>
      <c r="O46" s="183"/>
    </row>
    <row r="47">
      <c r="B47" s="44"/>
      <c r="G47" s="183"/>
      <c r="H47" s="302" t="s">
        <v>876</v>
      </c>
      <c r="O47" s="183"/>
    </row>
    <row r="48">
      <c r="B48" s="316" t="s">
        <v>877</v>
      </c>
      <c r="C48" s="113"/>
      <c r="D48" s="113"/>
      <c r="E48" s="113"/>
      <c r="F48" s="113"/>
      <c r="G48" s="114"/>
      <c r="H48" s="316" t="s">
        <v>891</v>
      </c>
      <c r="I48" s="113"/>
      <c r="J48" s="113"/>
      <c r="K48" s="113"/>
      <c r="L48" s="113"/>
      <c r="M48" s="113"/>
      <c r="N48" s="113"/>
      <c r="O48" s="114"/>
    </row>
    <row r="49">
      <c r="B49" s="324" t="s">
        <v>898</v>
      </c>
      <c r="C49" s="113"/>
      <c r="D49" s="113"/>
      <c r="E49" s="113"/>
      <c r="F49" s="113"/>
      <c r="G49" s="114"/>
      <c r="H49" s="326" t="s">
        <v>905</v>
      </c>
      <c r="I49" s="113"/>
      <c r="J49" s="113"/>
      <c r="K49" s="113"/>
      <c r="L49" s="113"/>
      <c r="M49" s="113"/>
      <c r="N49" s="113"/>
      <c r="O49" s="114"/>
    </row>
    <row r="50">
      <c r="B50" s="324" t="s">
        <v>908</v>
      </c>
      <c r="C50" s="113"/>
      <c r="D50" s="113"/>
      <c r="E50" s="113"/>
      <c r="F50" s="113"/>
      <c r="G50" s="114"/>
      <c r="H50" s="326" t="s">
        <v>913</v>
      </c>
      <c r="I50" s="113"/>
      <c r="J50" s="113"/>
      <c r="K50" s="113"/>
      <c r="L50" s="113"/>
      <c r="M50" s="113"/>
      <c r="N50" s="113"/>
      <c r="O50" s="114"/>
    </row>
    <row r="51">
      <c r="B51" s="324" t="s">
        <v>917</v>
      </c>
      <c r="C51" s="113"/>
      <c r="D51" s="113"/>
      <c r="E51" s="113"/>
      <c r="F51" s="113"/>
      <c r="G51" s="114"/>
      <c r="H51" s="326" t="s">
        <v>919</v>
      </c>
      <c r="I51" s="113"/>
      <c r="J51" s="113"/>
      <c r="K51" s="113"/>
      <c r="L51" s="113"/>
      <c r="M51" s="113"/>
      <c r="N51" s="113"/>
      <c r="O51" s="114"/>
    </row>
    <row r="52">
      <c r="B52" s="324" t="s">
        <v>920</v>
      </c>
      <c r="C52" s="113"/>
      <c r="D52" s="113"/>
      <c r="E52" s="113"/>
      <c r="F52" s="113"/>
      <c r="G52" s="114"/>
      <c r="H52" s="326" t="s">
        <v>923</v>
      </c>
      <c r="I52" s="113"/>
      <c r="J52" s="113"/>
      <c r="K52" s="113"/>
      <c r="L52" s="113"/>
      <c r="M52" s="113"/>
      <c r="N52" s="113"/>
      <c r="O52" s="114"/>
    </row>
    <row r="53">
      <c r="B53" s="324" t="s">
        <v>924</v>
      </c>
      <c r="C53" s="113"/>
      <c r="D53" s="113"/>
      <c r="E53" s="113"/>
      <c r="F53" s="113"/>
      <c r="G53" s="114"/>
      <c r="H53" s="326" t="s">
        <v>926</v>
      </c>
      <c r="I53" s="113"/>
      <c r="J53" s="113"/>
      <c r="K53" s="113"/>
      <c r="L53" s="113"/>
      <c r="M53" s="113"/>
      <c r="N53" s="113"/>
      <c r="O53" s="114"/>
    </row>
    <row r="54">
      <c r="B54" s="324" t="s">
        <v>928</v>
      </c>
      <c r="C54" s="113"/>
      <c r="D54" s="113"/>
      <c r="E54" s="113"/>
      <c r="F54" s="113"/>
      <c r="G54" s="114"/>
      <c r="H54" s="326" t="s">
        <v>931</v>
      </c>
      <c r="I54" s="113"/>
      <c r="J54" s="113"/>
      <c r="K54" s="113"/>
      <c r="L54" s="113"/>
      <c r="M54" s="113"/>
      <c r="N54" s="113"/>
      <c r="O54" s="114"/>
    </row>
    <row r="55">
      <c r="B55" s="324" t="s">
        <v>932</v>
      </c>
      <c r="C55" s="113"/>
      <c r="D55" s="113"/>
      <c r="E55" s="113"/>
      <c r="F55" s="113"/>
      <c r="G55" s="114"/>
      <c r="H55" s="326" t="s">
        <v>935</v>
      </c>
      <c r="I55" s="113"/>
      <c r="J55" s="113"/>
      <c r="K55" s="113"/>
      <c r="L55" s="113"/>
      <c r="M55" s="113"/>
      <c r="N55" s="113"/>
      <c r="O55" s="114"/>
    </row>
    <row r="56">
      <c r="B56" s="347" t="s">
        <v>950</v>
      </c>
      <c r="C56" s="113"/>
      <c r="D56" s="113"/>
      <c r="E56" s="113"/>
      <c r="F56" s="113"/>
      <c r="G56" s="113"/>
      <c r="H56" s="113"/>
      <c r="I56" s="113"/>
      <c r="J56" s="113"/>
      <c r="K56" s="113"/>
      <c r="L56" s="113"/>
      <c r="M56" s="113"/>
      <c r="N56" s="113"/>
      <c r="O56" s="114"/>
    </row>
    <row r="57">
      <c r="B57" s="324" t="s">
        <v>959</v>
      </c>
      <c r="C57" s="113"/>
      <c r="D57" s="113"/>
      <c r="E57" s="113"/>
      <c r="F57" s="113"/>
      <c r="G57" s="113"/>
      <c r="H57" s="113"/>
      <c r="I57" s="113"/>
      <c r="J57" s="113"/>
      <c r="K57" s="113"/>
      <c r="L57" s="113"/>
      <c r="M57" s="113"/>
      <c r="N57" s="113"/>
      <c r="O57" s="114"/>
    </row>
    <row r="58">
      <c r="B58" s="352" t="s">
        <v>965</v>
      </c>
      <c r="C58" s="113"/>
      <c r="D58" s="113"/>
      <c r="E58" s="113"/>
      <c r="F58" s="113"/>
      <c r="G58" s="113"/>
      <c r="H58" s="113"/>
      <c r="I58" s="113"/>
      <c r="J58" s="113"/>
      <c r="K58" s="113"/>
      <c r="L58" s="113"/>
      <c r="M58" s="113"/>
      <c r="N58" s="113"/>
      <c r="O58" s="114"/>
    </row>
    <row r="59">
      <c r="B59" s="324" t="s">
        <v>968</v>
      </c>
      <c r="C59" s="113"/>
      <c r="D59" s="113"/>
      <c r="E59" s="113"/>
      <c r="F59" s="113"/>
      <c r="G59" s="113"/>
      <c r="H59" s="113"/>
      <c r="I59" s="113"/>
      <c r="J59" s="113"/>
      <c r="K59" s="113"/>
      <c r="L59" s="113"/>
      <c r="M59" s="113"/>
      <c r="N59" s="113"/>
      <c r="O59" s="114"/>
    </row>
    <row r="60">
      <c r="B60" s="352" t="s">
        <v>973</v>
      </c>
      <c r="C60" s="113"/>
      <c r="D60" s="113"/>
      <c r="E60" s="113"/>
      <c r="F60" s="113"/>
      <c r="G60" s="113"/>
      <c r="H60" s="113"/>
      <c r="I60" s="113"/>
      <c r="J60" s="113"/>
      <c r="K60" s="113"/>
      <c r="L60" s="113"/>
      <c r="M60" s="113"/>
      <c r="N60" s="113"/>
      <c r="O60" s="114"/>
    </row>
    <row r="61">
      <c r="B61" s="224" t="s">
        <v>730</v>
      </c>
      <c r="C61" s="113"/>
      <c r="D61" s="114"/>
      <c r="E61" s="359" t="s">
        <v>765</v>
      </c>
      <c r="F61" s="113"/>
      <c r="G61" s="114"/>
      <c r="H61" s="236" t="s">
        <v>767</v>
      </c>
      <c r="I61" s="113"/>
      <c r="J61" s="113"/>
      <c r="K61" s="113"/>
      <c r="L61" s="362" t="s">
        <v>779</v>
      </c>
      <c r="O61" s="183"/>
    </row>
    <row r="62">
      <c r="B62" s="363" t="s">
        <v>990</v>
      </c>
      <c r="C62" s="113"/>
      <c r="D62" s="114"/>
      <c r="E62" s="363" t="s">
        <v>997</v>
      </c>
      <c r="F62" s="113"/>
      <c r="G62" s="114"/>
      <c r="H62" s="363" t="s">
        <v>998</v>
      </c>
      <c r="I62" s="113"/>
      <c r="J62" s="113"/>
      <c r="K62" s="114"/>
      <c r="L62" s="363" t="s">
        <v>999</v>
      </c>
      <c r="M62" s="113"/>
      <c r="N62" s="113"/>
      <c r="O62" s="114"/>
    </row>
    <row r="63">
      <c r="B63" s="368" t="s">
        <v>1000</v>
      </c>
      <c r="C63" s="113"/>
      <c r="D63" s="113"/>
      <c r="E63" s="113"/>
      <c r="F63" s="113"/>
      <c r="G63" s="113"/>
      <c r="H63" s="113"/>
      <c r="I63" s="113"/>
      <c r="J63" s="113"/>
      <c r="K63" s="113"/>
      <c r="L63" s="113"/>
      <c r="M63" s="113"/>
      <c r="N63" s="113"/>
      <c r="O63" s="114"/>
    </row>
    <row r="64">
      <c r="B64" s="369" t="s">
        <v>1001</v>
      </c>
      <c r="C64" s="113"/>
      <c r="D64" s="113"/>
      <c r="E64" s="113"/>
      <c r="F64" s="113"/>
      <c r="G64" s="113"/>
      <c r="H64" s="113"/>
      <c r="I64" s="113"/>
      <c r="J64" s="113"/>
      <c r="K64" s="113"/>
      <c r="L64" s="113"/>
      <c r="M64" s="113"/>
      <c r="N64" s="113"/>
      <c r="O64" s="114"/>
    </row>
    <row r="65">
      <c r="B65" s="370" t="s">
        <v>1002</v>
      </c>
      <c r="C65" s="113"/>
      <c r="D65" s="113"/>
      <c r="E65" s="113"/>
      <c r="F65" s="113"/>
      <c r="G65" s="113"/>
      <c r="H65" s="113"/>
      <c r="I65" s="113"/>
      <c r="J65" s="113"/>
      <c r="K65" s="113"/>
      <c r="L65" s="113"/>
      <c r="M65" s="113"/>
      <c r="N65" s="113"/>
      <c r="O65" s="114"/>
    </row>
    <row r="66">
      <c r="B66" s="326" t="s">
        <v>1003</v>
      </c>
      <c r="C66" s="113"/>
      <c r="D66" s="113"/>
      <c r="E66" s="113"/>
      <c r="F66" s="113"/>
      <c r="G66" s="113"/>
      <c r="H66" s="113"/>
      <c r="I66" s="113"/>
      <c r="J66" s="113"/>
      <c r="K66" s="113"/>
      <c r="L66" s="113"/>
      <c r="M66" s="113"/>
      <c r="N66" s="113"/>
      <c r="O66" s="114"/>
    </row>
    <row r="67">
      <c r="B67" s="326" t="s">
        <v>1004</v>
      </c>
      <c r="C67" s="113"/>
      <c r="D67" s="113"/>
      <c r="E67" s="113"/>
      <c r="F67" s="113"/>
      <c r="G67" s="113"/>
      <c r="H67" s="113"/>
      <c r="I67" s="113"/>
      <c r="J67" s="113"/>
      <c r="K67" s="113"/>
      <c r="L67" s="113"/>
      <c r="M67" s="113"/>
      <c r="N67" s="113"/>
      <c r="O67" s="114"/>
    </row>
    <row r="68">
      <c r="B68" s="371" t="s">
        <v>1005</v>
      </c>
      <c r="C68" s="16"/>
      <c r="D68" s="16"/>
      <c r="E68" s="16"/>
      <c r="F68" s="16"/>
      <c r="G68" s="16"/>
      <c r="H68" s="16"/>
      <c r="I68" s="16"/>
      <c r="J68" s="16"/>
      <c r="K68" s="16"/>
      <c r="L68" s="16"/>
      <c r="M68" s="16"/>
      <c r="N68" s="16"/>
      <c r="O68" s="17"/>
    </row>
    <row r="69">
      <c r="B69" s="44"/>
      <c r="O69" s="183"/>
    </row>
    <row r="70">
      <c r="B70" s="372" t="s">
        <v>1006</v>
      </c>
      <c r="F70" s="373" t="s">
        <v>1007</v>
      </c>
      <c r="K70" s="373" t="s">
        <v>1008</v>
      </c>
      <c r="O70" s="183"/>
    </row>
    <row r="71">
      <c r="B71" s="374" t="s">
        <v>1009</v>
      </c>
      <c r="F71" s="375" t="s">
        <v>1010</v>
      </c>
      <c r="K71" s="376" t="s">
        <v>1011</v>
      </c>
      <c r="O71" s="183"/>
    </row>
    <row r="72">
      <c r="B72" s="374" t="s">
        <v>1012</v>
      </c>
      <c r="F72" s="375" t="s">
        <v>1013</v>
      </c>
      <c r="K72" s="377" t="s">
        <v>1014</v>
      </c>
      <c r="O72" s="183"/>
    </row>
    <row r="73">
      <c r="B73" s="374" t="s">
        <v>1015</v>
      </c>
      <c r="F73" s="375" t="s">
        <v>1016</v>
      </c>
      <c r="K73" s="377" t="s">
        <v>1017</v>
      </c>
      <c r="O73" s="183"/>
    </row>
    <row r="74">
      <c r="B74" s="374" t="s">
        <v>1018</v>
      </c>
      <c r="F74" s="375" t="s">
        <v>1019</v>
      </c>
      <c r="K74" s="376" t="s">
        <v>1020</v>
      </c>
      <c r="O74" s="183"/>
    </row>
    <row r="75">
      <c r="B75" s="374" t="s">
        <v>1021</v>
      </c>
      <c r="F75" s="375" t="s">
        <v>1022</v>
      </c>
      <c r="K75" s="376" t="s">
        <v>1023</v>
      </c>
      <c r="O75" s="183"/>
    </row>
    <row r="76">
      <c r="B76" s="374" t="s">
        <v>1024</v>
      </c>
      <c r="F76" s="375" t="s">
        <v>1025</v>
      </c>
      <c r="K76" s="377" t="s">
        <v>1026</v>
      </c>
      <c r="O76" s="183"/>
    </row>
    <row r="77">
      <c r="B77" s="378" t="s">
        <v>1027</v>
      </c>
      <c r="C77" s="186"/>
      <c r="D77" s="186"/>
      <c r="E77" s="186"/>
      <c r="F77" s="379" t="s">
        <v>1028</v>
      </c>
      <c r="G77" s="186"/>
      <c r="H77" s="186"/>
      <c r="I77" s="186"/>
      <c r="J77" s="186"/>
      <c r="K77" s="380" t="s">
        <v>1029</v>
      </c>
      <c r="L77" s="186"/>
      <c r="M77" s="186"/>
      <c r="N77" s="186"/>
      <c r="O77" s="187"/>
    </row>
    <row r="78">
      <c r="B78" s="381" t="s">
        <v>1030</v>
      </c>
      <c r="C78" s="16"/>
      <c r="D78" s="16"/>
      <c r="E78" s="16"/>
      <c r="F78" s="16"/>
      <c r="G78" s="16"/>
      <c r="H78" s="16"/>
      <c r="I78" s="16"/>
      <c r="J78" s="16"/>
      <c r="K78" s="16"/>
      <c r="L78" s="16"/>
      <c r="M78" s="16"/>
      <c r="N78" s="16"/>
      <c r="O78" s="17"/>
    </row>
    <row r="79">
      <c r="B79" s="44"/>
      <c r="O79" s="183"/>
    </row>
    <row r="80">
      <c r="B80" s="382" t="s">
        <v>1031</v>
      </c>
      <c r="C80" s="186"/>
      <c r="D80" s="186"/>
      <c r="E80" s="186"/>
      <c r="F80" s="186"/>
      <c r="G80" s="186"/>
      <c r="H80" s="186"/>
      <c r="I80" s="186"/>
      <c r="J80" s="186"/>
      <c r="K80" s="186"/>
      <c r="L80" s="186"/>
      <c r="M80" s="186"/>
      <c r="N80" s="186"/>
      <c r="O80" s="187"/>
    </row>
    <row r="81">
      <c r="B81" s="291"/>
      <c r="C81" s="291"/>
      <c r="D81" s="291"/>
      <c r="E81" s="291"/>
      <c r="F81" s="291"/>
      <c r="G81" s="291"/>
      <c r="H81" s="291"/>
      <c r="I81" s="383"/>
      <c r="J81" s="291"/>
      <c r="K81" s="291"/>
      <c r="L81" s="291"/>
      <c r="M81" s="291"/>
      <c r="N81" s="291"/>
      <c r="O81" s="291"/>
    </row>
    <row r="82">
      <c r="B82" s="291"/>
      <c r="C82" s="291"/>
      <c r="D82" s="291"/>
      <c r="E82" s="291"/>
      <c r="F82" s="291"/>
      <c r="G82" s="291"/>
      <c r="H82" s="291"/>
      <c r="I82" s="291"/>
      <c r="J82" s="291"/>
      <c r="K82" s="291"/>
      <c r="L82" s="291"/>
      <c r="M82" s="291"/>
      <c r="N82" s="291"/>
      <c r="O82" s="291"/>
    </row>
    <row r="83">
      <c r="B83" s="291"/>
      <c r="C83" s="291"/>
      <c r="D83" s="291"/>
      <c r="E83" s="291"/>
      <c r="F83" s="291"/>
      <c r="G83" s="291"/>
      <c r="H83" s="291"/>
      <c r="I83" s="291"/>
      <c r="J83" s="291"/>
      <c r="K83" s="291"/>
      <c r="L83" s="291"/>
      <c r="M83" s="291"/>
      <c r="N83" s="291"/>
      <c r="O83" s="291"/>
    </row>
    <row r="84">
      <c r="B84" s="291"/>
      <c r="C84" s="291"/>
      <c r="D84" s="291"/>
      <c r="E84" s="291"/>
      <c r="F84" s="291"/>
      <c r="G84" s="291"/>
      <c r="H84" s="291"/>
      <c r="I84" s="291"/>
      <c r="J84" s="291"/>
      <c r="K84" s="291"/>
      <c r="L84" s="291"/>
      <c r="M84" s="291"/>
      <c r="N84" s="291"/>
      <c r="O84" s="291"/>
    </row>
    <row r="85">
      <c r="B85" s="291"/>
      <c r="C85" s="291"/>
      <c r="D85" s="291"/>
      <c r="E85" s="291"/>
      <c r="F85" s="291"/>
      <c r="G85" s="291"/>
      <c r="H85" s="291"/>
      <c r="I85" s="291"/>
      <c r="J85" s="291"/>
      <c r="K85" s="291"/>
      <c r="L85" s="291"/>
      <c r="M85" s="291"/>
      <c r="N85" s="291"/>
      <c r="O85" s="291"/>
    </row>
    <row r="86">
      <c r="B86" s="291"/>
      <c r="C86" s="291"/>
      <c r="D86" s="291"/>
      <c r="E86" s="291"/>
      <c r="F86" s="291"/>
      <c r="G86" s="291"/>
      <c r="H86" s="291"/>
      <c r="I86" s="291"/>
      <c r="J86" s="291"/>
      <c r="K86" s="291"/>
      <c r="L86" s="291"/>
      <c r="M86" s="291"/>
      <c r="N86" s="291"/>
      <c r="O86" s="291"/>
    </row>
    <row r="87">
      <c r="B87" s="291"/>
      <c r="C87" s="291"/>
      <c r="D87" s="291"/>
      <c r="E87" s="291"/>
      <c r="F87" s="291"/>
      <c r="G87" s="291"/>
      <c r="H87" s="291"/>
      <c r="I87" s="291"/>
      <c r="J87" s="291"/>
      <c r="K87" s="291"/>
      <c r="L87" s="291"/>
      <c r="M87" s="291"/>
      <c r="N87" s="291"/>
      <c r="O87" s="291"/>
    </row>
    <row r="88">
      <c r="B88" s="291"/>
      <c r="C88" s="291"/>
      <c r="D88" s="291"/>
      <c r="E88" s="291"/>
      <c r="F88" s="291"/>
      <c r="G88" s="291"/>
      <c r="H88" s="291"/>
      <c r="I88" s="291"/>
      <c r="J88" s="291"/>
      <c r="K88" s="291"/>
      <c r="L88" s="291"/>
      <c r="M88" s="291"/>
      <c r="N88" s="291"/>
      <c r="O88" s="291"/>
    </row>
    <row r="89">
      <c r="B89" s="291"/>
      <c r="C89" s="291"/>
      <c r="D89" s="291"/>
      <c r="E89" s="291"/>
      <c r="F89" s="291"/>
      <c r="G89" s="291"/>
      <c r="H89" s="291"/>
      <c r="I89" s="291"/>
      <c r="J89" s="291"/>
      <c r="K89" s="291"/>
      <c r="L89" s="291"/>
      <c r="M89" s="291"/>
      <c r="N89" s="291"/>
      <c r="O89" s="291"/>
    </row>
    <row r="90">
      <c r="B90" s="291"/>
      <c r="C90" s="291"/>
      <c r="D90" s="291"/>
      <c r="E90" s="291"/>
      <c r="F90" s="291"/>
      <c r="G90" s="291"/>
      <c r="H90" s="291"/>
      <c r="I90" s="291"/>
      <c r="J90" s="291"/>
      <c r="K90" s="291"/>
      <c r="L90" s="291"/>
      <c r="M90" s="291"/>
      <c r="N90" s="291"/>
      <c r="O90" s="291"/>
    </row>
    <row r="91">
      <c r="B91" s="291"/>
      <c r="C91" s="291"/>
      <c r="D91" s="291"/>
      <c r="E91" s="291"/>
      <c r="F91" s="291"/>
      <c r="G91" s="291"/>
      <c r="H91" s="291"/>
      <c r="I91" s="291"/>
      <c r="J91" s="291"/>
      <c r="K91" s="291"/>
      <c r="L91" s="291"/>
      <c r="M91" s="291"/>
      <c r="N91" s="291"/>
      <c r="O91" s="291"/>
    </row>
    <row r="92">
      <c r="B92" s="291"/>
      <c r="C92" s="291"/>
      <c r="D92" s="291"/>
      <c r="E92" s="291"/>
      <c r="F92" s="291"/>
      <c r="G92" s="291"/>
      <c r="H92" s="291"/>
      <c r="I92" s="291"/>
      <c r="J92" s="291"/>
      <c r="K92" s="291"/>
      <c r="L92" s="291"/>
      <c r="M92" s="291"/>
      <c r="N92" s="291"/>
      <c r="O92" s="291"/>
    </row>
    <row r="93">
      <c r="B93" s="291"/>
      <c r="C93" s="291"/>
      <c r="D93" s="291"/>
      <c r="E93" s="291"/>
      <c r="F93" s="291"/>
      <c r="G93" s="291"/>
      <c r="H93" s="291"/>
      <c r="I93" s="291"/>
      <c r="J93" s="291"/>
      <c r="K93" s="291"/>
      <c r="L93" s="291"/>
      <c r="M93" s="291"/>
      <c r="N93" s="291"/>
      <c r="O93" s="291"/>
    </row>
    <row r="94">
      <c r="B94" s="291"/>
      <c r="C94" s="291"/>
      <c r="D94" s="291"/>
      <c r="E94" s="291"/>
      <c r="F94" s="291"/>
      <c r="G94" s="291"/>
      <c r="H94" s="291"/>
      <c r="I94" s="291"/>
      <c r="J94" s="291"/>
      <c r="K94" s="291"/>
      <c r="L94" s="291"/>
      <c r="M94" s="291"/>
      <c r="N94" s="291"/>
      <c r="O94" s="291"/>
    </row>
    <row r="95">
      <c r="B95" s="291"/>
      <c r="C95" s="291"/>
      <c r="D95" s="291"/>
      <c r="E95" s="291"/>
      <c r="F95" s="291"/>
      <c r="G95" s="291"/>
      <c r="H95" s="291"/>
      <c r="I95" s="291"/>
      <c r="J95" s="291"/>
      <c r="K95" s="291"/>
      <c r="L95" s="291"/>
      <c r="M95" s="291"/>
      <c r="N95" s="291"/>
      <c r="O95" s="291"/>
    </row>
    <row r="96">
      <c r="B96" s="291"/>
      <c r="C96" s="291"/>
      <c r="D96" s="291"/>
      <c r="E96" s="291"/>
      <c r="F96" s="291"/>
      <c r="G96" s="291"/>
      <c r="H96" s="291"/>
      <c r="I96" s="291"/>
      <c r="J96" s="291"/>
      <c r="K96" s="291"/>
      <c r="L96" s="291"/>
      <c r="M96" s="291"/>
      <c r="N96" s="291"/>
      <c r="O96" s="291"/>
    </row>
    <row r="97">
      <c r="B97" s="291"/>
      <c r="C97" s="291"/>
      <c r="D97" s="291"/>
      <c r="E97" s="291"/>
      <c r="F97" s="291"/>
      <c r="G97" s="291"/>
      <c r="H97" s="291"/>
      <c r="I97" s="291"/>
      <c r="J97" s="291"/>
      <c r="K97" s="291"/>
      <c r="L97" s="291"/>
      <c r="M97" s="291"/>
      <c r="N97" s="291"/>
      <c r="O97" s="291"/>
    </row>
  </sheetData>
  <mergeCells count="115">
    <mergeCell ref="E35:G35"/>
    <mergeCell ref="H35:J35"/>
    <mergeCell ref="K35:L36"/>
    <mergeCell ref="B36:D36"/>
    <mergeCell ref="E36:G36"/>
    <mergeCell ref="H36:J36"/>
    <mergeCell ref="M36:O36"/>
    <mergeCell ref="B37:D37"/>
    <mergeCell ref="E37:G37"/>
    <mergeCell ref="H37:J38"/>
    <mergeCell ref="K37:L37"/>
    <mergeCell ref="B38:D38"/>
    <mergeCell ref="B39:D39"/>
    <mergeCell ref="H39:J41"/>
    <mergeCell ref="B52:G52"/>
    <mergeCell ref="B53:G53"/>
    <mergeCell ref="B54:G54"/>
    <mergeCell ref="B55:G55"/>
    <mergeCell ref="B40:D40"/>
    <mergeCell ref="B41:D41"/>
    <mergeCell ref="B43:G47"/>
    <mergeCell ref="B48:G48"/>
    <mergeCell ref="B49:G49"/>
    <mergeCell ref="B50:G50"/>
    <mergeCell ref="B51:G51"/>
    <mergeCell ref="H50:O50"/>
    <mergeCell ref="H51:O51"/>
    <mergeCell ref="H52:O52"/>
    <mergeCell ref="H53:O53"/>
    <mergeCell ref="H54:O54"/>
    <mergeCell ref="H55:O55"/>
    <mergeCell ref="B56:O56"/>
    <mergeCell ref="B57:O57"/>
    <mergeCell ref="B58:O58"/>
    <mergeCell ref="B59:O59"/>
    <mergeCell ref="B60:O60"/>
    <mergeCell ref="E61:G61"/>
    <mergeCell ref="H61:K61"/>
    <mergeCell ref="L61:O61"/>
    <mergeCell ref="B61:D61"/>
    <mergeCell ref="B62:D62"/>
    <mergeCell ref="E62:G62"/>
    <mergeCell ref="H62:K62"/>
    <mergeCell ref="L62:O62"/>
    <mergeCell ref="B63:O63"/>
    <mergeCell ref="B64:O64"/>
    <mergeCell ref="B65:O65"/>
    <mergeCell ref="B66:O66"/>
    <mergeCell ref="B67:O67"/>
    <mergeCell ref="B68:O69"/>
    <mergeCell ref="B70:E70"/>
    <mergeCell ref="F70:J70"/>
    <mergeCell ref="K70:O70"/>
    <mergeCell ref="F73:J73"/>
    <mergeCell ref="K73:O73"/>
    <mergeCell ref="B71:E71"/>
    <mergeCell ref="F71:J71"/>
    <mergeCell ref="K71:O71"/>
    <mergeCell ref="B72:E72"/>
    <mergeCell ref="F72:J72"/>
    <mergeCell ref="K72:O72"/>
    <mergeCell ref="B73:E73"/>
    <mergeCell ref="F76:J76"/>
    <mergeCell ref="K76:O76"/>
    <mergeCell ref="B74:E74"/>
    <mergeCell ref="F74:J74"/>
    <mergeCell ref="K74:O74"/>
    <mergeCell ref="B75:E75"/>
    <mergeCell ref="F75:J75"/>
    <mergeCell ref="K75:O75"/>
    <mergeCell ref="B76:E76"/>
    <mergeCell ref="B2:O2"/>
    <mergeCell ref="B3:O5"/>
    <mergeCell ref="M6:O11"/>
    <mergeCell ref="B7:D7"/>
    <mergeCell ref="C8:D8"/>
    <mergeCell ref="C9:D9"/>
    <mergeCell ref="C10:D10"/>
    <mergeCell ref="I12:O12"/>
    <mergeCell ref="I18:O23"/>
    <mergeCell ref="I24:O28"/>
    <mergeCell ref="C11:D11"/>
    <mergeCell ref="B12:H12"/>
    <mergeCell ref="B13:H16"/>
    <mergeCell ref="I13:O16"/>
    <mergeCell ref="B17:H17"/>
    <mergeCell ref="I17:O17"/>
    <mergeCell ref="B18:H28"/>
    <mergeCell ref="B29:O29"/>
    <mergeCell ref="B30:O30"/>
    <mergeCell ref="B31:O32"/>
    <mergeCell ref="E33:G33"/>
    <mergeCell ref="H33:J33"/>
    <mergeCell ref="K33:L33"/>
    <mergeCell ref="M33:O33"/>
    <mergeCell ref="B33:D33"/>
    <mergeCell ref="B34:D34"/>
    <mergeCell ref="E34:G34"/>
    <mergeCell ref="H34:J34"/>
    <mergeCell ref="K34:L34"/>
    <mergeCell ref="M34:O34"/>
    <mergeCell ref="B35:D35"/>
    <mergeCell ref="M35:O35"/>
    <mergeCell ref="H43:O43"/>
    <mergeCell ref="H44:O44"/>
    <mergeCell ref="H45:O45"/>
    <mergeCell ref="H46:O46"/>
    <mergeCell ref="H47:O47"/>
    <mergeCell ref="H48:O48"/>
    <mergeCell ref="H49:O49"/>
    <mergeCell ref="B77:E77"/>
    <mergeCell ref="F77:J77"/>
    <mergeCell ref="K77:O77"/>
    <mergeCell ref="B78:O79"/>
    <mergeCell ref="B80:O80"/>
  </mergeCells>
  <hyperlinks>
    <hyperlink r:id="rId4" ref="M6"/>
    <hyperlink r:id="rId5" ref="L7"/>
    <hyperlink r:id="rId6" location="heading=h.vndxeg9o5wu6" ref="L8"/>
    <hyperlink r:id="rId7" ref="L9"/>
    <hyperlink r:id="rId8" location="heading=h.cznzcy9v65mh" ref="L10"/>
  </hyperlinks>
  <drawing r:id="rId9"/>
  <legacy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53.88"/>
    <col customWidth="1" min="3" max="3" width="52.75"/>
    <col customWidth="1" min="4" max="4" width="48.5"/>
    <col customWidth="1" min="5" max="5" width="36.38"/>
    <col customWidth="1" min="6" max="6" width="42.0"/>
    <col customWidth="1" min="7" max="7" width="38.5"/>
  </cols>
  <sheetData>
    <row r="1">
      <c r="A1" s="125" t="s">
        <v>713</v>
      </c>
    </row>
    <row r="2">
      <c r="B2" s="191" t="s">
        <v>716</v>
      </c>
      <c r="C2" s="154"/>
      <c r="D2" s="155"/>
      <c r="E2" s="194" t="s">
        <v>722</v>
      </c>
      <c r="F2" s="197" t="s">
        <v>725</v>
      </c>
      <c r="G2" s="199" t="s">
        <v>726</v>
      </c>
    </row>
    <row r="3">
      <c r="B3" s="201" t="s">
        <v>729</v>
      </c>
      <c r="C3" s="204" t="s">
        <v>733</v>
      </c>
      <c r="D3" s="205" t="s">
        <v>735</v>
      </c>
      <c r="E3" s="206" t="s">
        <v>736</v>
      </c>
      <c r="F3" s="207"/>
      <c r="G3" s="125" t="s">
        <v>737</v>
      </c>
    </row>
    <row r="4">
      <c r="B4" s="208" t="s">
        <v>738</v>
      </c>
      <c r="C4" s="209">
        <v>0.1</v>
      </c>
      <c r="D4" s="210" t="s">
        <v>739</v>
      </c>
      <c r="E4" s="206" t="s">
        <v>740</v>
      </c>
      <c r="F4" s="211" t="s">
        <v>741</v>
      </c>
      <c r="G4" s="125" t="s">
        <v>742</v>
      </c>
    </row>
    <row r="5">
      <c r="B5" s="208" t="s">
        <v>743</v>
      </c>
      <c r="C5" s="209">
        <v>0.1</v>
      </c>
      <c r="D5" s="210" t="s">
        <v>744</v>
      </c>
      <c r="E5" s="212" t="s">
        <v>745</v>
      </c>
      <c r="F5" s="213" t="s">
        <v>741</v>
      </c>
      <c r="G5" s="166" t="s">
        <v>746</v>
      </c>
    </row>
    <row r="6">
      <c r="B6" s="208" t="s">
        <v>747</v>
      </c>
      <c r="C6" s="209">
        <v>0.1</v>
      </c>
      <c r="D6" s="210" t="s">
        <v>749</v>
      </c>
    </row>
    <row r="7">
      <c r="B7" s="208" t="s">
        <v>750</v>
      </c>
      <c r="C7" s="209">
        <v>0.1</v>
      </c>
      <c r="D7" s="210" t="s">
        <v>751</v>
      </c>
      <c r="E7" s="215" t="s">
        <v>752</v>
      </c>
      <c r="F7" s="216" t="s">
        <v>725</v>
      </c>
    </row>
    <row r="8">
      <c r="B8" s="208" t="s">
        <v>753</v>
      </c>
      <c r="C8" s="209">
        <v>0.1</v>
      </c>
      <c r="D8" s="210" t="s">
        <v>754</v>
      </c>
      <c r="E8" s="206" t="s">
        <v>755</v>
      </c>
      <c r="F8" s="218" t="s">
        <v>756</v>
      </c>
    </row>
    <row r="9">
      <c r="B9" s="208" t="s">
        <v>757</v>
      </c>
      <c r="C9" s="209">
        <v>0.1</v>
      </c>
      <c r="D9" s="210" t="s">
        <v>758</v>
      </c>
      <c r="E9" s="219" t="s">
        <v>759</v>
      </c>
      <c r="F9" s="220" t="s">
        <v>760</v>
      </c>
    </row>
    <row r="10">
      <c r="B10" s="208"/>
      <c r="C10" s="209"/>
      <c r="D10" s="210"/>
      <c r="E10" s="221" t="s">
        <v>761</v>
      </c>
      <c r="F10" s="226" t="s">
        <v>762</v>
      </c>
    </row>
    <row r="11">
      <c r="B11" s="228" t="s">
        <v>766</v>
      </c>
      <c r="C11" s="16"/>
      <c r="D11" s="229"/>
      <c r="E11" s="231"/>
      <c r="F11" s="232"/>
    </row>
    <row r="12">
      <c r="B12" s="233"/>
      <c r="C12" s="186"/>
      <c r="D12" s="232"/>
      <c r="E12" s="239" t="s">
        <v>776</v>
      </c>
      <c r="F12" s="244" t="s">
        <v>782</v>
      </c>
    </row>
    <row r="13">
      <c r="B13" s="247" t="s">
        <v>789</v>
      </c>
      <c r="C13" s="251" t="s">
        <v>318</v>
      </c>
      <c r="D13" s="257" t="s">
        <v>811</v>
      </c>
      <c r="E13" s="262"/>
      <c r="F13" s="158"/>
    </row>
    <row r="14">
      <c r="B14" s="247" t="s">
        <v>819</v>
      </c>
      <c r="C14" s="251" t="s">
        <v>161</v>
      </c>
      <c r="D14" s="257" t="s">
        <v>821</v>
      </c>
      <c r="E14" s="262"/>
      <c r="F14" s="158"/>
    </row>
    <row r="15">
      <c r="B15" s="247" t="s">
        <v>823</v>
      </c>
      <c r="C15" s="251" t="s">
        <v>824</v>
      </c>
      <c r="D15" s="257" t="s">
        <v>825</v>
      </c>
      <c r="E15" s="262"/>
      <c r="F15" s="158"/>
    </row>
    <row r="16">
      <c r="B16" s="247" t="s">
        <v>236</v>
      </c>
      <c r="C16" s="251" t="s">
        <v>826</v>
      </c>
      <c r="D16" s="257" t="s">
        <v>827</v>
      </c>
      <c r="E16" s="262"/>
      <c r="F16" s="158"/>
    </row>
    <row r="17">
      <c r="B17" s="247" t="s">
        <v>828</v>
      </c>
      <c r="C17" s="251" t="s">
        <v>326</v>
      </c>
      <c r="D17" s="257" t="s">
        <v>257</v>
      </c>
      <c r="E17" s="262"/>
      <c r="F17" s="158"/>
    </row>
    <row r="18">
      <c r="B18" s="247" t="s">
        <v>829</v>
      </c>
      <c r="C18" s="251" t="s">
        <v>830</v>
      </c>
      <c r="D18" s="257" t="s">
        <v>466</v>
      </c>
      <c r="E18" s="262"/>
      <c r="F18" s="158"/>
    </row>
    <row r="19">
      <c r="B19" s="277" t="s">
        <v>832</v>
      </c>
      <c r="C19" s="279" t="s">
        <v>845</v>
      </c>
      <c r="D19" s="280" t="s">
        <v>846</v>
      </c>
      <c r="E19" s="262"/>
      <c r="F19" s="158"/>
    </row>
    <row r="20">
      <c r="B20" s="286"/>
      <c r="D20" s="207"/>
      <c r="E20" s="262"/>
      <c r="F20" s="158"/>
    </row>
    <row r="21">
      <c r="B21" s="288" t="s">
        <v>851</v>
      </c>
      <c r="C21" s="291"/>
      <c r="D21" s="207"/>
      <c r="E21" s="262"/>
      <c r="F21" s="158"/>
    </row>
    <row r="22">
      <c r="B22" s="247" t="s">
        <v>859</v>
      </c>
      <c r="D22" s="158"/>
      <c r="E22" s="262"/>
      <c r="F22" s="158"/>
    </row>
    <row r="23">
      <c r="B23" s="300" t="s">
        <v>861</v>
      </c>
      <c r="D23" s="158"/>
      <c r="E23" s="262"/>
      <c r="F23" s="158"/>
    </row>
    <row r="24">
      <c r="B24" s="300" t="s">
        <v>871</v>
      </c>
      <c r="D24" s="158"/>
      <c r="E24" s="262"/>
      <c r="F24" s="158"/>
    </row>
    <row r="25">
      <c r="B25" s="305"/>
      <c r="C25" s="306"/>
      <c r="D25" s="307"/>
      <c r="E25" s="262"/>
      <c r="F25" s="158"/>
    </row>
    <row r="26">
      <c r="E26" s="262"/>
      <c r="F26" s="158"/>
    </row>
    <row r="27">
      <c r="E27" s="262"/>
      <c r="F27" s="158"/>
    </row>
    <row r="28">
      <c r="B28" s="308" t="s">
        <v>880</v>
      </c>
      <c r="C28" s="154"/>
      <c r="D28" s="155"/>
      <c r="E28" s="262"/>
      <c r="F28" s="158"/>
    </row>
    <row r="29">
      <c r="B29" s="309" t="s">
        <v>733</v>
      </c>
      <c r="C29" s="310" t="s">
        <v>735</v>
      </c>
      <c r="D29" s="311" t="s">
        <v>766</v>
      </c>
      <c r="E29" s="262"/>
      <c r="F29" s="158"/>
    </row>
    <row r="30">
      <c r="B30" s="312" t="s">
        <v>881</v>
      </c>
      <c r="C30" s="313" t="s">
        <v>882</v>
      </c>
      <c r="D30" s="314" t="s">
        <v>883</v>
      </c>
      <c r="E30" s="231"/>
      <c r="F30" s="232"/>
    </row>
    <row r="31">
      <c r="B31" s="315" t="s">
        <v>884</v>
      </c>
      <c r="D31" s="158"/>
      <c r="E31" s="221" t="s">
        <v>885</v>
      </c>
      <c r="F31" s="317" t="s">
        <v>886</v>
      </c>
    </row>
    <row r="32" ht="30.0" customHeight="1">
      <c r="B32" s="288" t="s">
        <v>851</v>
      </c>
      <c r="D32" s="207"/>
      <c r="E32" s="262"/>
      <c r="F32" s="158"/>
    </row>
    <row r="33">
      <c r="B33" s="300" t="s">
        <v>887</v>
      </c>
      <c r="D33" s="158"/>
      <c r="E33" s="319"/>
      <c r="F33" s="162"/>
    </row>
    <row r="34">
      <c r="B34" s="300" t="s">
        <v>888</v>
      </c>
      <c r="D34" s="158"/>
      <c r="E34" s="320" t="s">
        <v>890</v>
      </c>
      <c r="F34" s="155"/>
    </row>
    <row r="35">
      <c r="B35" s="300" t="s">
        <v>894</v>
      </c>
      <c r="D35" s="158"/>
      <c r="E35" s="325" t="s">
        <v>895</v>
      </c>
      <c r="F35" s="155"/>
    </row>
    <row r="36">
      <c r="B36" s="327" t="s">
        <v>906</v>
      </c>
      <c r="D36" s="158"/>
      <c r="E36" s="159"/>
      <c r="F36" s="158"/>
    </row>
    <row r="37">
      <c r="B37" s="327" t="s">
        <v>907</v>
      </c>
      <c r="D37" s="158"/>
      <c r="E37" s="328" t="s">
        <v>909</v>
      </c>
      <c r="F37" s="158"/>
    </row>
    <row r="38">
      <c r="B38" s="300" t="s">
        <v>910</v>
      </c>
      <c r="D38" s="158"/>
      <c r="E38" s="159"/>
      <c r="F38" s="158"/>
    </row>
    <row r="39">
      <c r="B39" s="329" t="s">
        <v>911</v>
      </c>
      <c r="D39" s="158"/>
      <c r="E39" s="159"/>
      <c r="F39" s="158"/>
    </row>
    <row r="40">
      <c r="B40" s="330" t="s">
        <v>912</v>
      </c>
      <c r="C40" s="161"/>
      <c r="D40" s="162"/>
      <c r="E40" s="160"/>
      <c r="F40" s="162"/>
    </row>
    <row r="43">
      <c r="B43" s="331" t="s">
        <v>914</v>
      </c>
      <c r="C43" s="154"/>
      <c r="D43" s="154"/>
      <c r="E43" s="155"/>
      <c r="F43" s="11" t="s">
        <v>915</v>
      </c>
    </row>
    <row r="44">
      <c r="B44" s="332" t="s">
        <v>916</v>
      </c>
      <c r="C44" s="333" t="s">
        <v>918</v>
      </c>
      <c r="D44" s="333" t="s">
        <v>921</v>
      </c>
      <c r="E44" s="335" t="s">
        <v>922</v>
      </c>
    </row>
    <row r="45" ht="51.0" customHeight="1">
      <c r="B45" s="336" t="s">
        <v>930</v>
      </c>
      <c r="C45" s="337" t="s">
        <v>517</v>
      </c>
      <c r="D45" s="338" t="s">
        <v>933</v>
      </c>
      <c r="E45" s="340" t="s">
        <v>934</v>
      </c>
    </row>
    <row r="46">
      <c r="B46" s="336" t="s">
        <v>937</v>
      </c>
      <c r="C46" s="337" t="s">
        <v>938</v>
      </c>
      <c r="D46" s="338" t="s">
        <v>939</v>
      </c>
      <c r="E46" s="340" t="s">
        <v>940</v>
      </c>
    </row>
    <row r="47" ht="108.0" customHeight="1">
      <c r="B47" s="336" t="s">
        <v>941</v>
      </c>
      <c r="C47" s="337" t="s">
        <v>944</v>
      </c>
      <c r="D47" s="338" t="s">
        <v>945</v>
      </c>
      <c r="E47" s="340" t="s">
        <v>946</v>
      </c>
    </row>
    <row r="48" ht="48.0" customHeight="1">
      <c r="B48" s="336" t="s">
        <v>947</v>
      </c>
      <c r="C48" s="337" t="s">
        <v>948</v>
      </c>
      <c r="D48" s="338" t="s">
        <v>949</v>
      </c>
      <c r="E48" s="342"/>
    </row>
    <row r="49" ht="73.5" customHeight="1">
      <c r="B49" s="336" t="s">
        <v>641</v>
      </c>
      <c r="C49" s="337" t="s">
        <v>524</v>
      </c>
      <c r="D49" s="338" t="s">
        <v>953</v>
      </c>
      <c r="E49" s="340" t="s">
        <v>954</v>
      </c>
    </row>
    <row r="50" ht="43.5" customHeight="1">
      <c r="B50" s="343" t="s">
        <v>955</v>
      </c>
      <c r="C50" s="344" t="s">
        <v>957</v>
      </c>
      <c r="D50" s="345" t="s">
        <v>958</v>
      </c>
      <c r="E50" s="348"/>
    </row>
    <row r="51" ht="33.75" customHeight="1">
      <c r="B51" s="343" t="s">
        <v>960</v>
      </c>
      <c r="C51" s="344" t="s">
        <v>961</v>
      </c>
      <c r="D51" s="345" t="s">
        <v>962</v>
      </c>
      <c r="E51" s="348"/>
    </row>
    <row r="52">
      <c r="B52" s="351" t="s">
        <v>964</v>
      </c>
    </row>
    <row r="55">
      <c r="C55" s="260"/>
    </row>
    <row r="82">
      <c r="C82" s="117"/>
    </row>
    <row r="83">
      <c r="C83" s="117"/>
    </row>
    <row r="84">
      <c r="C84" s="117"/>
    </row>
    <row r="85">
      <c r="C85" s="117"/>
    </row>
  </sheetData>
  <mergeCells count="29">
    <mergeCell ref="B22:D22"/>
    <mergeCell ref="B23:D23"/>
    <mergeCell ref="B24:D24"/>
    <mergeCell ref="B28:D28"/>
    <mergeCell ref="E12:E30"/>
    <mergeCell ref="E31:E33"/>
    <mergeCell ref="E34:F34"/>
    <mergeCell ref="E35:F36"/>
    <mergeCell ref="E37:F40"/>
    <mergeCell ref="F44:F60"/>
    <mergeCell ref="B2:D2"/>
    <mergeCell ref="E10:E11"/>
    <mergeCell ref="F10:F11"/>
    <mergeCell ref="B11:D12"/>
    <mergeCell ref="F12:F30"/>
    <mergeCell ref="G12:G31"/>
    <mergeCell ref="F31:F33"/>
    <mergeCell ref="B39:D39"/>
    <mergeCell ref="B40:D40"/>
    <mergeCell ref="B43:E43"/>
    <mergeCell ref="B52:E53"/>
    <mergeCell ref="C55:D78"/>
    <mergeCell ref="B31:D31"/>
    <mergeCell ref="B33:D33"/>
    <mergeCell ref="B34:D34"/>
    <mergeCell ref="B35:D35"/>
    <mergeCell ref="B36:D36"/>
    <mergeCell ref="B37:D37"/>
    <mergeCell ref="B38:D38"/>
  </mergeCells>
  <hyperlinks>
    <hyperlink r:id="rId4" ref="G5"/>
    <hyperlink r:id="rId5" ref="F10"/>
    <hyperlink r:id="rId6" ref="F12"/>
    <hyperlink r:id="rId7" ref="E35"/>
    <hyperlink r:id="rId8" ref="B36"/>
    <hyperlink r:id="rId9" ref="B37"/>
  </hyperlinks>
  <drawing r:id="rId10"/>
  <legacy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6.75"/>
    <col customWidth="1" min="3" max="3" width="57.25"/>
    <col customWidth="1" min="4" max="4" width="3.0"/>
    <col customWidth="1" min="5" max="5" width="19.5"/>
    <col customWidth="1" min="6" max="6" width="13.63"/>
    <col customWidth="1" min="7" max="7" width="27.38"/>
  </cols>
  <sheetData>
    <row r="1">
      <c r="F1" s="156"/>
    </row>
    <row r="2">
      <c r="B2" s="202" t="s">
        <v>731</v>
      </c>
      <c r="C2" s="155"/>
      <c r="E2" s="203" t="s">
        <v>732</v>
      </c>
    </row>
    <row r="3">
      <c r="B3" s="225" t="s">
        <v>734</v>
      </c>
      <c r="C3" s="234" t="s">
        <v>768</v>
      </c>
    </row>
    <row r="4">
      <c r="B4" s="225" t="s">
        <v>770</v>
      </c>
      <c r="C4" s="234" t="s">
        <v>771</v>
      </c>
    </row>
    <row r="5">
      <c r="B5" s="225" t="s">
        <v>772</v>
      </c>
      <c r="C5" s="234" t="s">
        <v>773</v>
      </c>
    </row>
    <row r="6">
      <c r="B6" s="225" t="s">
        <v>774</v>
      </c>
      <c r="C6" s="234" t="s">
        <v>775</v>
      </c>
    </row>
    <row r="7">
      <c r="B7" s="238" t="s">
        <v>777</v>
      </c>
      <c r="C7" s="241" t="s">
        <v>781</v>
      </c>
      <c r="E7" s="242" t="s">
        <v>784</v>
      </c>
      <c r="F7" s="246" t="s">
        <v>786</v>
      </c>
      <c r="G7" s="250" t="s">
        <v>793</v>
      </c>
      <c r="H7" s="250" t="s">
        <v>800</v>
      </c>
      <c r="I7" s="250" t="s">
        <v>802</v>
      </c>
      <c r="J7" s="17"/>
    </row>
    <row r="8">
      <c r="B8" s="238" t="s">
        <v>806</v>
      </c>
      <c r="C8" s="253" t="s">
        <v>808</v>
      </c>
      <c r="E8" s="255" t="s">
        <v>810</v>
      </c>
      <c r="J8" s="183"/>
      <c r="K8" s="260"/>
      <c r="L8" s="260"/>
    </row>
    <row r="9">
      <c r="B9" s="238" t="s">
        <v>815</v>
      </c>
      <c r="C9" s="268" t="s">
        <v>817</v>
      </c>
      <c r="E9" s="270" t="s">
        <v>834</v>
      </c>
      <c r="F9" s="271">
        <v>102.0</v>
      </c>
      <c r="G9" s="125" t="s">
        <v>835</v>
      </c>
      <c r="H9" s="273" t="s">
        <v>684</v>
      </c>
      <c r="I9" s="273" t="s">
        <v>837</v>
      </c>
      <c r="J9" s="183"/>
      <c r="K9" s="125"/>
      <c r="L9" s="125"/>
    </row>
    <row r="10">
      <c r="B10" s="238" t="s">
        <v>838</v>
      </c>
      <c r="C10" s="241" t="s">
        <v>839</v>
      </c>
      <c r="E10" s="270" t="s">
        <v>840</v>
      </c>
      <c r="F10" s="271">
        <v>104.0</v>
      </c>
      <c r="G10" s="125" t="s">
        <v>841</v>
      </c>
      <c r="H10" s="273" t="s">
        <v>684</v>
      </c>
      <c r="I10" s="273" t="s">
        <v>837</v>
      </c>
      <c r="J10" s="183"/>
      <c r="K10" s="117"/>
      <c r="L10" s="117"/>
    </row>
    <row r="11">
      <c r="B11" s="274"/>
      <c r="C11" s="241" t="s">
        <v>842</v>
      </c>
      <c r="E11" s="278" t="s">
        <v>843</v>
      </c>
      <c r="F11" s="273">
        <v>105.0</v>
      </c>
      <c r="G11" s="281" t="s">
        <v>847</v>
      </c>
      <c r="H11" s="284" t="s">
        <v>684</v>
      </c>
      <c r="I11" s="273" t="s">
        <v>837</v>
      </c>
      <c r="J11" s="183"/>
      <c r="K11" s="117"/>
      <c r="L11" s="117"/>
    </row>
    <row r="12">
      <c r="B12" s="274"/>
      <c r="C12" s="241" t="s">
        <v>849</v>
      </c>
      <c r="E12" s="278" t="s">
        <v>850</v>
      </c>
      <c r="F12" s="273">
        <v>139.0</v>
      </c>
      <c r="G12" s="281" t="s">
        <v>852</v>
      </c>
      <c r="H12" s="284" t="s">
        <v>684</v>
      </c>
      <c r="I12" s="273" t="s">
        <v>837</v>
      </c>
      <c r="J12" s="183"/>
      <c r="K12" s="117"/>
      <c r="L12" s="117"/>
    </row>
    <row r="13">
      <c r="B13" s="238"/>
      <c r="C13" s="241" t="s">
        <v>853</v>
      </c>
      <c r="E13" s="255" t="s">
        <v>854</v>
      </c>
      <c r="J13" s="183"/>
      <c r="K13" s="117"/>
      <c r="L13" s="117"/>
    </row>
    <row r="14">
      <c r="B14" s="238" t="s">
        <v>855</v>
      </c>
      <c r="C14" s="241" t="s">
        <v>856</v>
      </c>
      <c r="E14" s="292" t="s">
        <v>858</v>
      </c>
      <c r="F14" s="293">
        <v>141.0</v>
      </c>
      <c r="G14" s="298" t="s">
        <v>860</v>
      </c>
      <c r="H14" s="299" t="s">
        <v>869</v>
      </c>
      <c r="I14" s="304" t="s">
        <v>870</v>
      </c>
      <c r="J14" s="17"/>
      <c r="K14" s="318"/>
      <c r="L14" s="117"/>
    </row>
    <row r="15">
      <c r="B15" s="238" t="s">
        <v>889</v>
      </c>
      <c r="C15" s="241" t="s">
        <v>892</v>
      </c>
      <c r="E15" s="278" t="s">
        <v>893</v>
      </c>
      <c r="F15" s="321">
        <v>106.0</v>
      </c>
      <c r="G15" s="322" t="s">
        <v>896</v>
      </c>
      <c r="H15" s="323" t="s">
        <v>869</v>
      </c>
      <c r="I15" s="273" t="s">
        <v>897</v>
      </c>
      <c r="J15" s="183"/>
      <c r="K15" s="125"/>
      <c r="L15" s="125"/>
    </row>
    <row r="16">
      <c r="B16" s="238" t="s">
        <v>899</v>
      </c>
      <c r="C16" s="241" t="s">
        <v>900</v>
      </c>
      <c r="E16" s="278" t="s">
        <v>901</v>
      </c>
      <c r="F16" s="273">
        <v>149.0</v>
      </c>
      <c r="G16" s="125" t="s">
        <v>902</v>
      </c>
      <c r="H16" s="273" t="s">
        <v>692</v>
      </c>
      <c r="I16" s="273" t="s">
        <v>897</v>
      </c>
      <c r="J16" s="183"/>
      <c r="K16" s="125"/>
      <c r="L16" s="125"/>
    </row>
    <row r="17">
      <c r="B17" s="238" t="s">
        <v>903</v>
      </c>
      <c r="C17" s="334" t="s">
        <v>904</v>
      </c>
      <c r="E17" s="278" t="s">
        <v>925</v>
      </c>
      <c r="F17" s="273">
        <v>150.0</v>
      </c>
      <c r="G17" s="125" t="s">
        <v>927</v>
      </c>
      <c r="H17" s="273" t="s">
        <v>869</v>
      </c>
      <c r="I17" s="273" t="s">
        <v>929</v>
      </c>
      <c r="J17" s="183"/>
      <c r="K17" s="318"/>
      <c r="L17" s="117"/>
    </row>
    <row r="18">
      <c r="B18" s="339"/>
      <c r="C18" s="341" t="s">
        <v>936</v>
      </c>
      <c r="E18" s="278" t="s">
        <v>942</v>
      </c>
      <c r="F18" s="273">
        <v>153.0</v>
      </c>
      <c r="G18" s="125" t="s">
        <v>943</v>
      </c>
      <c r="H18" s="273" t="s">
        <v>869</v>
      </c>
      <c r="I18" s="273" t="s">
        <v>929</v>
      </c>
      <c r="J18" s="183"/>
      <c r="K18" s="117"/>
      <c r="L18" s="117"/>
    </row>
    <row r="19">
      <c r="E19" s="278" t="s">
        <v>951</v>
      </c>
      <c r="F19" s="273">
        <v>154.0</v>
      </c>
      <c r="G19" s="125" t="s">
        <v>952</v>
      </c>
      <c r="H19" s="273" t="s">
        <v>869</v>
      </c>
      <c r="I19" s="273" t="s">
        <v>929</v>
      </c>
      <c r="J19" s="183"/>
      <c r="K19" s="260"/>
      <c r="L19" s="260"/>
    </row>
    <row r="20">
      <c r="E20" s="346" t="s">
        <v>956</v>
      </c>
      <c r="F20" s="349">
        <v>151.0</v>
      </c>
      <c r="G20" s="350" t="s">
        <v>963</v>
      </c>
      <c r="H20" s="349" t="s">
        <v>869</v>
      </c>
      <c r="I20" s="349" t="s">
        <v>929</v>
      </c>
      <c r="J20" s="187"/>
      <c r="K20" s="260"/>
      <c r="L20" s="260"/>
    </row>
    <row r="22">
      <c r="B22" s="353" t="s">
        <v>966</v>
      </c>
      <c r="C22" s="17"/>
    </row>
    <row r="23">
      <c r="B23" s="354" t="s">
        <v>967</v>
      </c>
      <c r="C23" s="355" t="s">
        <v>969</v>
      </c>
    </row>
    <row r="24">
      <c r="B24" s="356" t="s">
        <v>970</v>
      </c>
      <c r="C24" s="357" t="s">
        <v>971</v>
      </c>
      <c r="E24" s="358" t="s">
        <v>972</v>
      </c>
    </row>
    <row r="25">
      <c r="B25" s="360" t="s">
        <v>974</v>
      </c>
      <c r="C25" s="357" t="s">
        <v>975</v>
      </c>
    </row>
    <row r="26">
      <c r="B26" s="360" t="s">
        <v>976</v>
      </c>
      <c r="C26" s="357" t="s">
        <v>977</v>
      </c>
    </row>
    <row r="27">
      <c r="B27" s="360" t="s">
        <v>978</v>
      </c>
      <c r="C27" s="357" t="s">
        <v>979</v>
      </c>
    </row>
    <row r="28">
      <c r="B28" s="360" t="s">
        <v>980</v>
      </c>
      <c r="C28" s="357" t="s">
        <v>981</v>
      </c>
      <c r="E28" s="361"/>
      <c r="F28" s="361"/>
    </row>
    <row r="29">
      <c r="B29" s="360" t="s">
        <v>982</v>
      </c>
      <c r="C29" s="357" t="s">
        <v>983</v>
      </c>
    </row>
    <row r="30">
      <c r="B30" s="360" t="s">
        <v>984</v>
      </c>
      <c r="C30" s="357" t="s">
        <v>985</v>
      </c>
      <c r="D30" s="361"/>
    </row>
    <row r="31">
      <c r="B31" s="360" t="s">
        <v>986</v>
      </c>
      <c r="C31" s="357" t="s">
        <v>987</v>
      </c>
    </row>
    <row r="32">
      <c r="B32" s="360" t="s">
        <v>988</v>
      </c>
      <c r="C32" s="357" t="s">
        <v>989</v>
      </c>
    </row>
    <row r="33">
      <c r="B33" s="360" t="s">
        <v>991</v>
      </c>
      <c r="C33" s="357" t="s">
        <v>992</v>
      </c>
    </row>
    <row r="34">
      <c r="B34" s="360" t="s">
        <v>993</v>
      </c>
      <c r="C34" s="357" t="s">
        <v>994</v>
      </c>
    </row>
    <row r="35">
      <c r="B35" s="364" t="s">
        <v>995</v>
      </c>
      <c r="C35" s="365" t="s">
        <v>996</v>
      </c>
    </row>
    <row r="36">
      <c r="C36" s="152"/>
      <c r="F36" s="156"/>
    </row>
    <row r="37">
      <c r="C37" s="152"/>
      <c r="F37" s="156"/>
    </row>
    <row r="38">
      <c r="C38" s="152"/>
      <c r="F38" s="156"/>
    </row>
    <row r="39">
      <c r="C39" s="366"/>
      <c r="F39" s="156"/>
    </row>
    <row r="40">
      <c r="C40" s="366"/>
      <c r="F40" s="156"/>
    </row>
    <row r="41">
      <c r="C41" s="366"/>
      <c r="F41" s="156"/>
    </row>
    <row r="42">
      <c r="B42" s="367"/>
      <c r="C42" s="366"/>
      <c r="F42" s="156"/>
    </row>
    <row r="43">
      <c r="B43" s="367"/>
      <c r="C43" s="156"/>
      <c r="F43" s="156"/>
    </row>
    <row r="44">
      <c r="B44" s="367"/>
      <c r="C44" s="156"/>
      <c r="F44" s="156"/>
    </row>
    <row r="45">
      <c r="B45" s="367"/>
      <c r="C45" s="156"/>
      <c r="F45" s="156"/>
    </row>
    <row r="46">
      <c r="B46" s="367"/>
      <c r="C46" s="156"/>
      <c r="F46" s="156"/>
    </row>
    <row r="47">
      <c r="B47" s="367"/>
      <c r="C47" s="156"/>
      <c r="F47" s="156"/>
    </row>
    <row r="48">
      <c r="C48" s="156"/>
      <c r="F48" s="156"/>
    </row>
    <row r="49">
      <c r="C49" s="156"/>
      <c r="F49" s="156"/>
    </row>
    <row r="50">
      <c r="B50" s="367"/>
      <c r="C50" s="156"/>
      <c r="F50" s="156"/>
    </row>
    <row r="51">
      <c r="C51" s="156"/>
      <c r="F51" s="156"/>
    </row>
    <row r="52">
      <c r="F52" s="156"/>
    </row>
    <row r="53">
      <c r="F53" s="156"/>
    </row>
    <row r="54">
      <c r="F54" s="156"/>
    </row>
    <row r="55">
      <c r="F55" s="156"/>
    </row>
    <row r="56">
      <c r="F56" s="156"/>
    </row>
    <row r="57">
      <c r="F57" s="156"/>
    </row>
    <row r="58">
      <c r="F58" s="156"/>
    </row>
    <row r="59">
      <c r="F59" s="156"/>
    </row>
    <row r="60">
      <c r="F60" s="156"/>
    </row>
    <row r="61">
      <c r="F61" s="156"/>
    </row>
    <row r="62">
      <c r="F62" s="156"/>
    </row>
    <row r="63">
      <c r="F63" s="156"/>
    </row>
    <row r="64">
      <c r="F64" s="156"/>
    </row>
    <row r="65">
      <c r="F65" s="156"/>
    </row>
    <row r="66">
      <c r="F66" s="156"/>
    </row>
    <row r="67">
      <c r="F67" s="156"/>
    </row>
    <row r="68">
      <c r="F68" s="156"/>
    </row>
    <row r="69">
      <c r="F69" s="156"/>
    </row>
    <row r="70">
      <c r="F70" s="156"/>
    </row>
    <row r="71">
      <c r="F71" s="156"/>
    </row>
    <row r="72">
      <c r="F72" s="156"/>
    </row>
    <row r="73">
      <c r="F73" s="156"/>
    </row>
    <row r="74">
      <c r="F74" s="156"/>
    </row>
    <row r="75">
      <c r="F75" s="156"/>
    </row>
    <row r="76">
      <c r="F76" s="156"/>
    </row>
    <row r="77">
      <c r="F77" s="156"/>
    </row>
    <row r="78">
      <c r="F78" s="156"/>
    </row>
    <row r="79">
      <c r="F79" s="156"/>
    </row>
    <row r="80">
      <c r="F80" s="156"/>
    </row>
    <row r="81">
      <c r="F81" s="156"/>
    </row>
    <row r="82">
      <c r="F82" s="156"/>
    </row>
    <row r="83">
      <c r="F83" s="156"/>
    </row>
    <row r="84">
      <c r="F84" s="156"/>
    </row>
    <row r="85">
      <c r="F85" s="156"/>
    </row>
    <row r="86">
      <c r="F86" s="156"/>
    </row>
    <row r="87">
      <c r="F87" s="156"/>
    </row>
    <row r="88">
      <c r="F88" s="156"/>
    </row>
    <row r="89">
      <c r="F89" s="156"/>
    </row>
    <row r="90">
      <c r="F90" s="156"/>
    </row>
    <row r="91">
      <c r="F91" s="156"/>
    </row>
    <row r="92">
      <c r="F92" s="156"/>
    </row>
    <row r="93">
      <c r="F93" s="156"/>
    </row>
    <row r="94">
      <c r="F94" s="156"/>
    </row>
    <row r="95">
      <c r="F95" s="156"/>
    </row>
    <row r="96">
      <c r="F96" s="156"/>
    </row>
    <row r="97">
      <c r="F97" s="156"/>
    </row>
    <row r="98">
      <c r="F98" s="156"/>
    </row>
    <row r="99">
      <c r="F99" s="156"/>
    </row>
    <row r="100">
      <c r="F100" s="156"/>
    </row>
    <row r="101">
      <c r="F101" s="156"/>
    </row>
    <row r="102">
      <c r="F102" s="156"/>
    </row>
    <row r="103">
      <c r="F103" s="156"/>
    </row>
    <row r="104">
      <c r="F104" s="156"/>
    </row>
    <row r="105">
      <c r="F105" s="156"/>
    </row>
    <row r="106">
      <c r="F106" s="156"/>
    </row>
    <row r="107">
      <c r="F107" s="156"/>
    </row>
    <row r="108">
      <c r="F108" s="156"/>
    </row>
    <row r="109">
      <c r="F109" s="156"/>
    </row>
    <row r="110">
      <c r="F110" s="156"/>
    </row>
    <row r="111">
      <c r="F111" s="156"/>
    </row>
    <row r="112">
      <c r="F112" s="156"/>
    </row>
    <row r="113">
      <c r="F113" s="156"/>
    </row>
    <row r="114">
      <c r="F114" s="156"/>
    </row>
    <row r="115">
      <c r="F115" s="156"/>
    </row>
    <row r="116">
      <c r="F116" s="156"/>
    </row>
    <row r="117">
      <c r="F117" s="156"/>
    </row>
    <row r="118">
      <c r="F118" s="156"/>
    </row>
    <row r="119">
      <c r="F119" s="156"/>
    </row>
    <row r="120">
      <c r="F120" s="156"/>
    </row>
    <row r="121">
      <c r="F121" s="156"/>
    </row>
    <row r="122">
      <c r="F122" s="156"/>
    </row>
    <row r="123">
      <c r="F123" s="156"/>
    </row>
    <row r="124">
      <c r="F124" s="156"/>
    </row>
    <row r="125">
      <c r="F125" s="156"/>
    </row>
    <row r="126">
      <c r="F126" s="156"/>
    </row>
    <row r="127">
      <c r="F127" s="156"/>
    </row>
    <row r="128">
      <c r="F128" s="156"/>
    </row>
    <row r="129">
      <c r="F129" s="156"/>
    </row>
    <row r="130">
      <c r="F130" s="156"/>
    </row>
    <row r="131">
      <c r="F131" s="156"/>
    </row>
    <row r="132">
      <c r="F132" s="156"/>
    </row>
    <row r="133">
      <c r="F133" s="156"/>
    </row>
    <row r="134">
      <c r="F134" s="156"/>
    </row>
    <row r="135">
      <c r="F135" s="156"/>
    </row>
    <row r="136">
      <c r="F136" s="156"/>
    </row>
    <row r="137">
      <c r="F137" s="156"/>
    </row>
    <row r="138">
      <c r="F138" s="156"/>
    </row>
    <row r="139">
      <c r="F139" s="156"/>
    </row>
    <row r="140">
      <c r="F140" s="156"/>
    </row>
    <row r="141">
      <c r="F141" s="156"/>
    </row>
    <row r="142">
      <c r="F142" s="156"/>
    </row>
    <row r="143">
      <c r="F143" s="156"/>
    </row>
    <row r="144">
      <c r="F144" s="156"/>
    </row>
    <row r="145">
      <c r="F145" s="156"/>
    </row>
    <row r="146">
      <c r="F146" s="156"/>
    </row>
    <row r="147">
      <c r="F147" s="156"/>
    </row>
    <row r="148">
      <c r="F148" s="156"/>
    </row>
    <row r="149">
      <c r="F149" s="156"/>
    </row>
    <row r="150">
      <c r="F150" s="156"/>
    </row>
    <row r="151">
      <c r="F151" s="156"/>
    </row>
    <row r="152">
      <c r="F152" s="156"/>
    </row>
    <row r="153">
      <c r="F153" s="156"/>
    </row>
    <row r="154">
      <c r="F154" s="156"/>
    </row>
    <row r="155">
      <c r="F155" s="156"/>
    </row>
    <row r="156">
      <c r="F156" s="156"/>
    </row>
    <row r="157">
      <c r="F157" s="156"/>
    </row>
    <row r="158">
      <c r="F158" s="156"/>
    </row>
    <row r="159">
      <c r="F159" s="156"/>
    </row>
    <row r="160">
      <c r="F160" s="156"/>
    </row>
    <row r="161">
      <c r="F161" s="156"/>
    </row>
    <row r="162">
      <c r="F162" s="156"/>
    </row>
    <row r="163">
      <c r="F163" s="156"/>
    </row>
    <row r="164">
      <c r="F164" s="156"/>
    </row>
    <row r="165">
      <c r="F165" s="156"/>
    </row>
    <row r="166">
      <c r="F166" s="156"/>
    </row>
    <row r="167">
      <c r="F167" s="156"/>
    </row>
    <row r="168">
      <c r="F168" s="156"/>
    </row>
    <row r="169">
      <c r="F169" s="156"/>
    </row>
    <row r="170">
      <c r="F170" s="156"/>
    </row>
    <row r="171">
      <c r="F171" s="156"/>
    </row>
    <row r="172">
      <c r="F172" s="156"/>
    </row>
    <row r="173">
      <c r="F173" s="156"/>
    </row>
    <row r="174">
      <c r="F174" s="156"/>
    </row>
    <row r="175">
      <c r="F175" s="156"/>
    </row>
    <row r="176">
      <c r="F176" s="156"/>
    </row>
    <row r="177">
      <c r="F177" s="156"/>
    </row>
    <row r="178">
      <c r="F178" s="156"/>
    </row>
    <row r="179">
      <c r="F179" s="156"/>
    </row>
    <row r="180">
      <c r="F180" s="156"/>
    </row>
    <row r="181">
      <c r="F181" s="156"/>
    </row>
    <row r="182">
      <c r="F182" s="156"/>
    </row>
    <row r="183">
      <c r="F183" s="156"/>
    </row>
    <row r="184">
      <c r="F184" s="156"/>
    </row>
    <row r="185">
      <c r="F185" s="156"/>
    </row>
    <row r="186">
      <c r="F186" s="156"/>
    </row>
    <row r="187">
      <c r="F187" s="156"/>
    </row>
    <row r="188">
      <c r="F188" s="156"/>
    </row>
    <row r="189">
      <c r="F189" s="156"/>
    </row>
    <row r="190">
      <c r="F190" s="156"/>
    </row>
    <row r="191">
      <c r="F191" s="156"/>
    </row>
    <row r="192">
      <c r="F192" s="156"/>
    </row>
    <row r="193">
      <c r="F193" s="156"/>
    </row>
    <row r="194">
      <c r="F194" s="156"/>
    </row>
    <row r="195">
      <c r="F195" s="156"/>
    </row>
    <row r="196">
      <c r="F196" s="156"/>
    </row>
    <row r="197">
      <c r="F197" s="156"/>
    </row>
    <row r="198">
      <c r="F198" s="156"/>
    </row>
    <row r="199">
      <c r="F199" s="156"/>
    </row>
    <row r="200">
      <c r="F200" s="156"/>
    </row>
    <row r="201">
      <c r="F201" s="156"/>
    </row>
    <row r="202">
      <c r="F202" s="156"/>
    </row>
    <row r="203">
      <c r="F203" s="156"/>
    </row>
    <row r="204">
      <c r="F204" s="156"/>
    </row>
    <row r="205">
      <c r="F205" s="156"/>
    </row>
    <row r="206">
      <c r="F206" s="156"/>
    </row>
    <row r="207">
      <c r="F207" s="156"/>
    </row>
    <row r="208">
      <c r="F208" s="156"/>
    </row>
    <row r="209">
      <c r="F209" s="156"/>
    </row>
    <row r="210">
      <c r="F210" s="156"/>
    </row>
    <row r="211">
      <c r="F211" s="156"/>
    </row>
    <row r="212">
      <c r="F212" s="156"/>
    </row>
    <row r="213">
      <c r="F213" s="156"/>
    </row>
    <row r="214">
      <c r="F214" s="156"/>
    </row>
    <row r="215">
      <c r="F215" s="156"/>
    </row>
    <row r="216">
      <c r="F216" s="156"/>
    </row>
    <row r="217">
      <c r="F217" s="156"/>
    </row>
    <row r="218">
      <c r="F218" s="156"/>
    </row>
    <row r="219">
      <c r="F219" s="156"/>
    </row>
    <row r="220">
      <c r="F220" s="156"/>
    </row>
    <row r="221">
      <c r="F221" s="156"/>
    </row>
    <row r="222">
      <c r="F222" s="156"/>
    </row>
    <row r="223">
      <c r="F223" s="156"/>
    </row>
    <row r="224">
      <c r="F224" s="156"/>
    </row>
    <row r="225">
      <c r="F225" s="156"/>
    </row>
    <row r="226">
      <c r="F226" s="156"/>
    </row>
    <row r="227">
      <c r="F227" s="156"/>
    </row>
    <row r="228">
      <c r="F228" s="156"/>
    </row>
    <row r="229">
      <c r="F229" s="156"/>
    </row>
    <row r="230">
      <c r="F230" s="156"/>
    </row>
    <row r="231">
      <c r="F231" s="156"/>
    </row>
    <row r="232">
      <c r="F232" s="156"/>
    </row>
    <row r="233">
      <c r="F233" s="156"/>
    </row>
    <row r="234">
      <c r="F234" s="156"/>
    </row>
    <row r="235">
      <c r="F235" s="156"/>
    </row>
    <row r="236">
      <c r="F236" s="156"/>
    </row>
    <row r="237">
      <c r="F237" s="156"/>
    </row>
    <row r="238">
      <c r="F238" s="156"/>
    </row>
    <row r="239">
      <c r="F239" s="156"/>
    </row>
    <row r="240">
      <c r="F240" s="156"/>
    </row>
    <row r="241">
      <c r="F241" s="156"/>
    </row>
    <row r="242">
      <c r="F242" s="156"/>
    </row>
    <row r="243">
      <c r="F243" s="156"/>
    </row>
    <row r="244">
      <c r="F244" s="156"/>
    </row>
    <row r="245">
      <c r="F245" s="156"/>
    </row>
    <row r="246">
      <c r="F246" s="156"/>
    </row>
    <row r="247">
      <c r="F247" s="156"/>
    </row>
    <row r="248">
      <c r="F248" s="156"/>
    </row>
    <row r="249">
      <c r="F249" s="156"/>
    </row>
    <row r="250">
      <c r="F250" s="156"/>
    </row>
    <row r="251">
      <c r="F251" s="156"/>
    </row>
    <row r="252">
      <c r="F252" s="156"/>
    </row>
    <row r="253">
      <c r="F253" s="156"/>
    </row>
    <row r="254">
      <c r="F254" s="156"/>
    </row>
    <row r="255">
      <c r="F255" s="156"/>
    </row>
    <row r="256">
      <c r="F256" s="156"/>
    </row>
    <row r="257">
      <c r="F257" s="156"/>
    </row>
    <row r="258">
      <c r="F258" s="156"/>
    </row>
    <row r="259">
      <c r="F259" s="156"/>
    </row>
    <row r="260">
      <c r="F260" s="156"/>
    </row>
    <row r="261">
      <c r="F261" s="156"/>
    </row>
    <row r="262">
      <c r="F262" s="156"/>
    </row>
    <row r="263">
      <c r="F263" s="156"/>
    </row>
    <row r="264">
      <c r="F264" s="156"/>
    </row>
    <row r="265">
      <c r="F265" s="156"/>
    </row>
    <row r="266">
      <c r="F266" s="156"/>
    </row>
    <row r="267">
      <c r="F267" s="156"/>
    </row>
    <row r="268">
      <c r="F268" s="156"/>
    </row>
    <row r="269">
      <c r="F269" s="156"/>
    </row>
    <row r="270">
      <c r="F270" s="156"/>
    </row>
    <row r="271">
      <c r="F271" s="156"/>
    </row>
    <row r="272">
      <c r="F272" s="156"/>
    </row>
    <row r="273">
      <c r="F273" s="156"/>
    </row>
    <row r="274">
      <c r="F274" s="156"/>
    </row>
    <row r="275">
      <c r="F275" s="156"/>
    </row>
    <row r="276">
      <c r="F276" s="156"/>
    </row>
    <row r="277">
      <c r="F277" s="156"/>
    </row>
    <row r="278">
      <c r="F278" s="156"/>
    </row>
    <row r="279">
      <c r="F279" s="156"/>
    </row>
    <row r="280">
      <c r="F280" s="156"/>
    </row>
    <row r="281">
      <c r="F281" s="156"/>
    </row>
    <row r="282">
      <c r="F282" s="156"/>
    </row>
    <row r="283">
      <c r="F283" s="156"/>
    </row>
    <row r="284">
      <c r="F284" s="156"/>
    </row>
    <row r="285">
      <c r="F285" s="156"/>
    </row>
    <row r="286">
      <c r="F286" s="156"/>
    </row>
    <row r="287">
      <c r="F287" s="156"/>
    </row>
    <row r="288">
      <c r="F288" s="156"/>
    </row>
    <row r="289">
      <c r="F289" s="156"/>
    </row>
    <row r="290">
      <c r="F290" s="156"/>
    </row>
    <row r="291">
      <c r="F291" s="156"/>
    </row>
    <row r="292">
      <c r="F292" s="156"/>
    </row>
    <row r="293">
      <c r="F293" s="156"/>
    </row>
    <row r="294">
      <c r="F294" s="156"/>
    </row>
    <row r="295">
      <c r="F295" s="156"/>
    </row>
    <row r="296">
      <c r="F296" s="156"/>
    </row>
    <row r="297">
      <c r="F297" s="156"/>
    </row>
    <row r="298">
      <c r="F298" s="156"/>
    </row>
    <row r="299">
      <c r="F299" s="156"/>
    </row>
    <row r="300">
      <c r="F300" s="156"/>
    </row>
    <row r="301">
      <c r="F301" s="156"/>
    </row>
    <row r="302">
      <c r="F302" s="156"/>
    </row>
    <row r="303">
      <c r="F303" s="156"/>
    </row>
    <row r="304">
      <c r="F304" s="156"/>
    </row>
    <row r="305">
      <c r="F305" s="156"/>
    </row>
    <row r="306">
      <c r="F306" s="156"/>
    </row>
    <row r="307">
      <c r="F307" s="156"/>
    </row>
    <row r="308">
      <c r="F308" s="156"/>
    </row>
    <row r="309">
      <c r="F309" s="156"/>
    </row>
    <row r="310">
      <c r="F310" s="156"/>
    </row>
    <row r="311">
      <c r="F311" s="156"/>
    </row>
    <row r="312">
      <c r="F312" s="156"/>
    </row>
    <row r="313">
      <c r="F313" s="156"/>
    </row>
    <row r="314">
      <c r="F314" s="156"/>
    </row>
    <row r="315">
      <c r="F315" s="156"/>
    </row>
    <row r="316">
      <c r="F316" s="156"/>
    </row>
    <row r="317">
      <c r="F317" s="156"/>
    </row>
    <row r="318">
      <c r="F318" s="156"/>
    </row>
    <row r="319">
      <c r="F319" s="156"/>
    </row>
    <row r="320">
      <c r="F320" s="156"/>
    </row>
    <row r="321">
      <c r="F321" s="156"/>
    </row>
    <row r="322">
      <c r="F322" s="156"/>
    </row>
    <row r="323">
      <c r="F323" s="156"/>
    </row>
    <row r="324">
      <c r="F324" s="156"/>
    </row>
    <row r="325">
      <c r="F325" s="156"/>
    </row>
    <row r="326">
      <c r="F326" s="156"/>
    </row>
    <row r="327">
      <c r="F327" s="156"/>
    </row>
    <row r="328">
      <c r="F328" s="156"/>
    </row>
    <row r="329">
      <c r="F329" s="156"/>
    </row>
    <row r="330">
      <c r="F330" s="156"/>
    </row>
    <row r="331">
      <c r="F331" s="156"/>
    </row>
    <row r="332">
      <c r="F332" s="156"/>
    </row>
    <row r="333">
      <c r="F333" s="156"/>
    </row>
    <row r="334">
      <c r="F334" s="156"/>
    </row>
    <row r="335">
      <c r="F335" s="156"/>
    </row>
    <row r="336">
      <c r="F336" s="156"/>
    </row>
    <row r="337">
      <c r="F337" s="156"/>
    </row>
    <row r="338">
      <c r="F338" s="156"/>
    </row>
    <row r="339">
      <c r="F339" s="156"/>
    </row>
    <row r="340">
      <c r="F340" s="156"/>
    </row>
    <row r="341">
      <c r="F341" s="156"/>
    </row>
    <row r="342">
      <c r="F342" s="156"/>
    </row>
    <row r="343">
      <c r="F343" s="156"/>
    </row>
    <row r="344">
      <c r="F344" s="156"/>
    </row>
    <row r="345">
      <c r="F345" s="156"/>
    </row>
    <row r="346">
      <c r="F346" s="156"/>
    </row>
    <row r="347">
      <c r="F347" s="156"/>
    </row>
    <row r="348">
      <c r="F348" s="156"/>
    </row>
    <row r="349">
      <c r="F349" s="156"/>
    </row>
    <row r="350">
      <c r="F350" s="156"/>
    </row>
    <row r="351">
      <c r="F351" s="156"/>
    </row>
    <row r="352">
      <c r="F352" s="156"/>
    </row>
    <row r="353">
      <c r="F353" s="156"/>
    </row>
    <row r="354">
      <c r="F354" s="156"/>
    </row>
    <row r="355">
      <c r="F355" s="156"/>
    </row>
    <row r="356">
      <c r="F356" s="156"/>
    </row>
    <row r="357">
      <c r="F357" s="156"/>
    </row>
    <row r="358">
      <c r="F358" s="156"/>
    </row>
    <row r="359">
      <c r="F359" s="156"/>
    </row>
    <row r="360">
      <c r="F360" s="156"/>
    </row>
    <row r="361">
      <c r="F361" s="156"/>
    </row>
    <row r="362">
      <c r="F362" s="156"/>
    </row>
    <row r="363">
      <c r="F363" s="156"/>
    </row>
    <row r="364">
      <c r="F364" s="156"/>
    </row>
    <row r="365">
      <c r="F365" s="156"/>
    </row>
    <row r="366">
      <c r="F366" s="156"/>
    </row>
    <row r="367">
      <c r="F367" s="156"/>
    </row>
    <row r="368">
      <c r="F368" s="156"/>
    </row>
    <row r="369">
      <c r="F369" s="156"/>
    </row>
    <row r="370">
      <c r="F370" s="156"/>
    </row>
    <row r="371">
      <c r="F371" s="156"/>
    </row>
    <row r="372">
      <c r="F372" s="156"/>
    </row>
    <row r="373">
      <c r="F373" s="156"/>
    </row>
    <row r="374">
      <c r="F374" s="156"/>
    </row>
    <row r="375">
      <c r="F375" s="156"/>
    </row>
    <row r="376">
      <c r="F376" s="156"/>
    </row>
    <row r="377">
      <c r="F377" s="156"/>
    </row>
    <row r="378">
      <c r="F378" s="156"/>
    </row>
    <row r="379">
      <c r="F379" s="156"/>
    </row>
    <row r="380">
      <c r="F380" s="156"/>
    </row>
    <row r="381">
      <c r="F381" s="156"/>
    </row>
    <row r="382">
      <c r="F382" s="156"/>
    </row>
    <row r="383">
      <c r="F383" s="156"/>
    </row>
    <row r="384">
      <c r="F384" s="156"/>
    </row>
    <row r="385">
      <c r="F385" s="156"/>
    </row>
    <row r="386">
      <c r="F386" s="156"/>
    </row>
    <row r="387">
      <c r="F387" s="156"/>
    </row>
    <row r="388">
      <c r="F388" s="156"/>
    </row>
    <row r="389">
      <c r="F389" s="156"/>
    </row>
    <row r="390">
      <c r="F390" s="156"/>
    </row>
    <row r="391">
      <c r="F391" s="156"/>
    </row>
    <row r="392">
      <c r="F392" s="156"/>
    </row>
    <row r="393">
      <c r="F393" s="156"/>
    </row>
    <row r="394">
      <c r="F394" s="156"/>
    </row>
    <row r="395">
      <c r="F395" s="156"/>
    </row>
    <row r="396">
      <c r="F396" s="156"/>
    </row>
    <row r="397">
      <c r="F397" s="156"/>
    </row>
    <row r="398">
      <c r="F398" s="156"/>
    </row>
    <row r="399">
      <c r="F399" s="156"/>
    </row>
    <row r="400">
      <c r="F400" s="156"/>
    </row>
    <row r="401">
      <c r="F401" s="156"/>
    </row>
    <row r="402">
      <c r="F402" s="156"/>
    </row>
    <row r="403">
      <c r="F403" s="156"/>
    </row>
    <row r="404">
      <c r="F404" s="156"/>
    </row>
    <row r="405">
      <c r="F405" s="156"/>
    </row>
    <row r="406">
      <c r="F406" s="156"/>
    </row>
    <row r="407">
      <c r="F407" s="156"/>
    </row>
    <row r="408">
      <c r="F408" s="156"/>
    </row>
    <row r="409">
      <c r="F409" s="156"/>
    </row>
    <row r="410">
      <c r="F410" s="156"/>
    </row>
    <row r="411">
      <c r="F411" s="156"/>
    </row>
    <row r="412">
      <c r="F412" s="156"/>
    </row>
    <row r="413">
      <c r="F413" s="156"/>
    </row>
    <row r="414">
      <c r="F414" s="156"/>
    </row>
    <row r="415">
      <c r="F415" s="156"/>
    </row>
    <row r="416">
      <c r="F416" s="156"/>
    </row>
    <row r="417">
      <c r="F417" s="156"/>
    </row>
    <row r="418">
      <c r="F418" s="156"/>
    </row>
    <row r="419">
      <c r="F419" s="156"/>
    </row>
    <row r="420">
      <c r="F420" s="156"/>
    </row>
    <row r="421">
      <c r="F421" s="156"/>
    </row>
    <row r="422">
      <c r="F422" s="156"/>
    </row>
    <row r="423">
      <c r="F423" s="156"/>
    </row>
    <row r="424">
      <c r="F424" s="156"/>
    </row>
    <row r="425">
      <c r="F425" s="156"/>
    </row>
    <row r="426">
      <c r="F426" s="156"/>
    </row>
    <row r="427">
      <c r="F427" s="156"/>
    </row>
    <row r="428">
      <c r="F428" s="156"/>
    </row>
    <row r="429">
      <c r="F429" s="156"/>
    </row>
    <row r="430">
      <c r="F430" s="156"/>
    </row>
    <row r="431">
      <c r="F431" s="156"/>
    </row>
    <row r="432">
      <c r="F432" s="156"/>
    </row>
    <row r="433">
      <c r="F433" s="156"/>
    </row>
    <row r="434">
      <c r="F434" s="156"/>
    </row>
    <row r="435">
      <c r="F435" s="156"/>
    </row>
    <row r="436">
      <c r="F436" s="156"/>
    </row>
    <row r="437">
      <c r="F437" s="156"/>
    </row>
    <row r="438">
      <c r="F438" s="156"/>
    </row>
    <row r="439">
      <c r="F439" s="156"/>
    </row>
    <row r="440">
      <c r="F440" s="156"/>
    </row>
    <row r="441">
      <c r="F441" s="156"/>
    </row>
    <row r="442">
      <c r="F442" s="156"/>
    </row>
    <row r="443">
      <c r="F443" s="156"/>
    </row>
    <row r="444">
      <c r="F444" s="156"/>
    </row>
    <row r="445">
      <c r="F445" s="156"/>
    </row>
    <row r="446">
      <c r="F446" s="156"/>
    </row>
    <row r="447">
      <c r="F447" s="156"/>
    </row>
    <row r="448">
      <c r="F448" s="156"/>
    </row>
    <row r="449">
      <c r="F449" s="156"/>
    </row>
    <row r="450">
      <c r="F450" s="156"/>
    </row>
    <row r="451">
      <c r="F451" s="156"/>
    </row>
    <row r="452">
      <c r="F452" s="156"/>
    </row>
    <row r="453">
      <c r="F453" s="156"/>
    </row>
    <row r="454">
      <c r="F454" s="156"/>
    </row>
    <row r="455">
      <c r="F455" s="156"/>
    </row>
    <row r="456">
      <c r="F456" s="156"/>
    </row>
    <row r="457">
      <c r="F457" s="156"/>
    </row>
    <row r="458">
      <c r="F458" s="156"/>
    </row>
    <row r="459">
      <c r="F459" s="156"/>
    </row>
    <row r="460">
      <c r="F460" s="156"/>
    </row>
    <row r="461">
      <c r="F461" s="156"/>
    </row>
    <row r="462">
      <c r="F462" s="156"/>
    </row>
    <row r="463">
      <c r="F463" s="156"/>
    </row>
    <row r="464">
      <c r="F464" s="156"/>
    </row>
    <row r="465">
      <c r="F465" s="156"/>
    </row>
    <row r="466">
      <c r="F466" s="156"/>
    </row>
    <row r="467">
      <c r="F467" s="156"/>
    </row>
    <row r="468">
      <c r="F468" s="156"/>
    </row>
    <row r="469">
      <c r="F469" s="156"/>
    </row>
    <row r="470">
      <c r="F470" s="156"/>
    </row>
    <row r="471">
      <c r="F471" s="156"/>
    </row>
    <row r="472">
      <c r="F472" s="156"/>
    </row>
    <row r="473">
      <c r="F473" s="156"/>
    </row>
    <row r="474">
      <c r="F474" s="156"/>
    </row>
    <row r="475">
      <c r="F475" s="156"/>
    </row>
    <row r="476">
      <c r="F476" s="156"/>
    </row>
    <row r="477">
      <c r="F477" s="156"/>
    </row>
    <row r="478">
      <c r="F478" s="156"/>
    </row>
    <row r="479">
      <c r="F479" s="156"/>
    </row>
    <row r="480">
      <c r="F480" s="156"/>
    </row>
    <row r="481">
      <c r="F481" s="156"/>
    </row>
    <row r="482">
      <c r="F482" s="156"/>
    </row>
    <row r="483">
      <c r="F483" s="156"/>
    </row>
    <row r="484">
      <c r="F484" s="156"/>
    </row>
    <row r="485">
      <c r="F485" s="156"/>
    </row>
    <row r="486">
      <c r="F486" s="156"/>
    </row>
    <row r="487">
      <c r="F487" s="156"/>
    </row>
    <row r="488">
      <c r="F488" s="156"/>
    </row>
    <row r="489">
      <c r="F489" s="156"/>
    </row>
    <row r="490">
      <c r="F490" s="156"/>
    </row>
    <row r="491">
      <c r="F491" s="156"/>
    </row>
    <row r="492">
      <c r="F492" s="156"/>
    </row>
    <row r="493">
      <c r="F493" s="156"/>
    </row>
    <row r="494">
      <c r="F494" s="156"/>
    </row>
    <row r="495">
      <c r="F495" s="156"/>
    </row>
    <row r="496">
      <c r="F496" s="156"/>
    </row>
    <row r="497">
      <c r="F497" s="156"/>
    </row>
    <row r="498">
      <c r="F498" s="156"/>
    </row>
    <row r="499">
      <c r="F499" s="156"/>
    </row>
    <row r="500">
      <c r="F500" s="156"/>
    </row>
    <row r="501">
      <c r="F501" s="156"/>
    </row>
    <row r="502">
      <c r="F502" s="156"/>
    </row>
    <row r="503">
      <c r="F503" s="156"/>
    </row>
    <row r="504">
      <c r="F504" s="156"/>
    </row>
    <row r="505">
      <c r="F505" s="156"/>
    </row>
    <row r="506">
      <c r="F506" s="156"/>
    </row>
    <row r="507">
      <c r="F507" s="156"/>
    </row>
    <row r="508">
      <c r="F508" s="156"/>
    </row>
    <row r="509">
      <c r="F509" s="156"/>
    </row>
    <row r="510">
      <c r="F510" s="156"/>
    </row>
    <row r="511">
      <c r="F511" s="156"/>
    </row>
    <row r="512">
      <c r="F512" s="156"/>
    </row>
    <row r="513">
      <c r="F513" s="156"/>
    </row>
    <row r="514">
      <c r="F514" s="156"/>
    </row>
    <row r="515">
      <c r="F515" s="156"/>
    </row>
    <row r="516">
      <c r="F516" s="156"/>
    </row>
    <row r="517">
      <c r="F517" s="156"/>
    </row>
    <row r="518">
      <c r="F518" s="156"/>
    </row>
    <row r="519">
      <c r="F519" s="156"/>
    </row>
    <row r="520">
      <c r="F520" s="156"/>
    </row>
    <row r="521">
      <c r="F521" s="156"/>
    </row>
    <row r="522">
      <c r="F522" s="156"/>
    </row>
    <row r="523">
      <c r="F523" s="156"/>
    </row>
    <row r="524">
      <c r="F524" s="156"/>
    </row>
    <row r="525">
      <c r="F525" s="156"/>
    </row>
    <row r="526">
      <c r="F526" s="156"/>
    </row>
    <row r="527">
      <c r="F527" s="156"/>
    </row>
    <row r="528">
      <c r="F528" s="156"/>
    </row>
    <row r="529">
      <c r="F529" s="156"/>
    </row>
    <row r="530">
      <c r="F530" s="156"/>
    </row>
    <row r="531">
      <c r="F531" s="156"/>
    </row>
    <row r="532">
      <c r="F532" s="156"/>
    </row>
    <row r="533">
      <c r="F533" s="156"/>
    </row>
    <row r="534">
      <c r="F534" s="156"/>
    </row>
    <row r="535">
      <c r="F535" s="156"/>
    </row>
    <row r="536">
      <c r="F536" s="156"/>
    </row>
    <row r="537">
      <c r="F537" s="156"/>
    </row>
    <row r="538">
      <c r="F538" s="156"/>
    </row>
    <row r="539">
      <c r="F539" s="156"/>
    </row>
    <row r="540">
      <c r="F540" s="156"/>
    </row>
    <row r="541">
      <c r="F541" s="156"/>
    </row>
    <row r="542">
      <c r="F542" s="156"/>
    </row>
    <row r="543">
      <c r="F543" s="156"/>
    </row>
    <row r="544">
      <c r="F544" s="156"/>
    </row>
    <row r="545">
      <c r="F545" s="156"/>
    </row>
    <row r="546">
      <c r="F546" s="156"/>
    </row>
    <row r="547">
      <c r="F547" s="156"/>
    </row>
    <row r="548">
      <c r="F548" s="156"/>
    </row>
    <row r="549">
      <c r="F549" s="156"/>
    </row>
    <row r="550">
      <c r="F550" s="156"/>
    </row>
    <row r="551">
      <c r="F551" s="156"/>
    </row>
    <row r="552">
      <c r="F552" s="156"/>
    </row>
    <row r="553">
      <c r="F553" s="156"/>
    </row>
    <row r="554">
      <c r="F554" s="156"/>
    </row>
    <row r="555">
      <c r="F555" s="156"/>
    </row>
    <row r="556">
      <c r="F556" s="156"/>
    </row>
    <row r="557">
      <c r="F557" s="156"/>
    </row>
    <row r="558">
      <c r="F558" s="156"/>
    </row>
    <row r="559">
      <c r="F559" s="156"/>
    </row>
    <row r="560">
      <c r="F560" s="156"/>
    </row>
    <row r="561">
      <c r="F561" s="156"/>
    </row>
    <row r="562">
      <c r="F562" s="156"/>
    </row>
    <row r="563">
      <c r="F563" s="156"/>
    </row>
    <row r="564">
      <c r="F564" s="156"/>
    </row>
    <row r="565">
      <c r="F565" s="156"/>
    </row>
    <row r="566">
      <c r="F566" s="156"/>
    </row>
    <row r="567">
      <c r="F567" s="156"/>
    </row>
    <row r="568">
      <c r="F568" s="156"/>
    </row>
    <row r="569">
      <c r="F569" s="156"/>
    </row>
    <row r="570">
      <c r="F570" s="156"/>
    </row>
    <row r="571">
      <c r="F571" s="156"/>
    </row>
    <row r="572">
      <c r="F572" s="156"/>
    </row>
    <row r="573">
      <c r="F573" s="156"/>
    </row>
    <row r="574">
      <c r="F574" s="156"/>
    </row>
    <row r="575">
      <c r="F575" s="156"/>
    </row>
    <row r="576">
      <c r="F576" s="156"/>
    </row>
    <row r="577">
      <c r="F577" s="156"/>
    </row>
    <row r="578">
      <c r="F578" s="156"/>
    </row>
    <row r="579">
      <c r="F579" s="156"/>
    </row>
    <row r="580">
      <c r="F580" s="156"/>
    </row>
    <row r="581">
      <c r="F581" s="156"/>
    </row>
    <row r="582">
      <c r="F582" s="156"/>
    </row>
    <row r="583">
      <c r="F583" s="156"/>
    </row>
    <row r="584">
      <c r="F584" s="156"/>
    </row>
    <row r="585">
      <c r="F585" s="156"/>
    </row>
    <row r="586">
      <c r="F586" s="156"/>
    </row>
    <row r="587">
      <c r="F587" s="156"/>
    </row>
    <row r="588">
      <c r="F588" s="156"/>
    </row>
    <row r="589">
      <c r="F589" s="156"/>
    </row>
    <row r="590">
      <c r="F590" s="156"/>
    </row>
    <row r="591">
      <c r="F591" s="156"/>
    </row>
    <row r="592">
      <c r="F592" s="156"/>
    </row>
    <row r="593">
      <c r="F593" s="156"/>
    </row>
    <row r="594">
      <c r="F594" s="156"/>
    </row>
    <row r="595">
      <c r="F595" s="156"/>
    </row>
    <row r="596">
      <c r="F596" s="156"/>
    </row>
    <row r="597">
      <c r="F597" s="156"/>
    </row>
    <row r="598">
      <c r="F598" s="156"/>
    </row>
    <row r="599">
      <c r="F599" s="156"/>
    </row>
    <row r="600">
      <c r="F600" s="156"/>
    </row>
    <row r="601">
      <c r="F601" s="156"/>
    </row>
    <row r="602">
      <c r="F602" s="156"/>
    </row>
    <row r="603">
      <c r="F603" s="156"/>
    </row>
    <row r="604">
      <c r="F604" s="156"/>
    </row>
    <row r="605">
      <c r="F605" s="156"/>
    </row>
    <row r="606">
      <c r="F606" s="156"/>
    </row>
    <row r="607">
      <c r="F607" s="156"/>
    </row>
    <row r="608">
      <c r="F608" s="156"/>
    </row>
    <row r="609">
      <c r="F609" s="156"/>
    </row>
    <row r="610">
      <c r="F610" s="156"/>
    </row>
    <row r="611">
      <c r="F611" s="156"/>
    </row>
    <row r="612">
      <c r="F612" s="156"/>
    </row>
    <row r="613">
      <c r="F613" s="156"/>
    </row>
    <row r="614">
      <c r="F614" s="156"/>
    </row>
    <row r="615">
      <c r="F615" s="156"/>
    </row>
    <row r="616">
      <c r="F616" s="156"/>
    </row>
    <row r="617">
      <c r="F617" s="156"/>
    </row>
    <row r="618">
      <c r="F618" s="156"/>
    </row>
    <row r="619">
      <c r="F619" s="156"/>
    </row>
    <row r="620">
      <c r="F620" s="156"/>
    </row>
    <row r="621">
      <c r="F621" s="156"/>
    </row>
    <row r="622">
      <c r="F622" s="156"/>
    </row>
    <row r="623">
      <c r="F623" s="156"/>
    </row>
    <row r="624">
      <c r="F624" s="156"/>
    </row>
    <row r="625">
      <c r="F625" s="156"/>
    </row>
    <row r="626">
      <c r="F626" s="156"/>
    </row>
    <row r="627">
      <c r="F627" s="156"/>
    </row>
    <row r="628">
      <c r="F628" s="156"/>
    </row>
    <row r="629">
      <c r="F629" s="156"/>
    </row>
    <row r="630">
      <c r="F630" s="156"/>
    </row>
    <row r="631">
      <c r="F631" s="156"/>
    </row>
    <row r="632">
      <c r="F632" s="156"/>
    </row>
    <row r="633">
      <c r="F633" s="156"/>
    </row>
    <row r="634">
      <c r="F634" s="156"/>
    </row>
    <row r="635">
      <c r="F635" s="156"/>
    </row>
    <row r="636">
      <c r="F636" s="156"/>
    </row>
    <row r="637">
      <c r="F637" s="156"/>
    </row>
    <row r="638">
      <c r="F638" s="156"/>
    </row>
    <row r="639">
      <c r="F639" s="156"/>
    </row>
    <row r="640">
      <c r="F640" s="156"/>
    </row>
    <row r="641">
      <c r="F641" s="156"/>
    </row>
    <row r="642">
      <c r="F642" s="156"/>
    </row>
    <row r="643">
      <c r="F643" s="156"/>
    </row>
    <row r="644">
      <c r="F644" s="156"/>
    </row>
    <row r="645">
      <c r="F645" s="156"/>
    </row>
    <row r="646">
      <c r="F646" s="156"/>
    </row>
    <row r="647">
      <c r="F647" s="156"/>
    </row>
    <row r="648">
      <c r="F648" s="156"/>
    </row>
    <row r="649">
      <c r="F649" s="156"/>
    </row>
    <row r="650">
      <c r="F650" s="156"/>
    </row>
    <row r="651">
      <c r="F651" s="156"/>
    </row>
    <row r="652">
      <c r="F652" s="156"/>
    </row>
    <row r="653">
      <c r="F653" s="156"/>
    </row>
    <row r="654">
      <c r="F654" s="156"/>
    </row>
    <row r="655">
      <c r="F655" s="156"/>
    </row>
    <row r="656">
      <c r="F656" s="156"/>
    </row>
    <row r="657">
      <c r="F657" s="156"/>
    </row>
    <row r="658">
      <c r="F658" s="156"/>
    </row>
    <row r="659">
      <c r="F659" s="156"/>
    </row>
    <row r="660">
      <c r="F660" s="156"/>
    </row>
    <row r="661">
      <c r="F661" s="156"/>
    </row>
    <row r="662">
      <c r="F662" s="156"/>
    </row>
    <row r="663">
      <c r="F663" s="156"/>
    </row>
    <row r="664">
      <c r="F664" s="156"/>
    </row>
    <row r="665">
      <c r="F665" s="156"/>
    </row>
    <row r="666">
      <c r="F666" s="156"/>
    </row>
    <row r="667">
      <c r="F667" s="156"/>
    </row>
    <row r="668">
      <c r="F668" s="156"/>
    </row>
    <row r="669">
      <c r="F669" s="156"/>
    </row>
    <row r="670">
      <c r="F670" s="156"/>
    </row>
    <row r="671">
      <c r="F671" s="156"/>
    </row>
    <row r="672">
      <c r="F672" s="156"/>
    </row>
    <row r="673">
      <c r="F673" s="156"/>
    </row>
    <row r="674">
      <c r="F674" s="156"/>
    </row>
    <row r="675">
      <c r="F675" s="156"/>
    </row>
    <row r="676">
      <c r="F676" s="156"/>
    </row>
    <row r="677">
      <c r="F677" s="156"/>
    </row>
    <row r="678">
      <c r="F678" s="156"/>
    </row>
    <row r="679">
      <c r="F679" s="156"/>
    </row>
    <row r="680">
      <c r="F680" s="156"/>
    </row>
    <row r="681">
      <c r="F681" s="156"/>
    </row>
    <row r="682">
      <c r="F682" s="156"/>
    </row>
    <row r="683">
      <c r="F683" s="156"/>
    </row>
    <row r="684">
      <c r="F684" s="156"/>
    </row>
    <row r="685">
      <c r="F685" s="156"/>
    </row>
    <row r="686">
      <c r="F686" s="156"/>
    </row>
    <row r="687">
      <c r="F687" s="156"/>
    </row>
    <row r="688">
      <c r="F688" s="156"/>
    </row>
    <row r="689">
      <c r="F689" s="156"/>
    </row>
    <row r="690">
      <c r="F690" s="156"/>
    </row>
    <row r="691">
      <c r="F691" s="156"/>
    </row>
    <row r="692">
      <c r="F692" s="156"/>
    </row>
    <row r="693">
      <c r="F693" s="156"/>
    </row>
    <row r="694">
      <c r="F694" s="156"/>
    </row>
    <row r="695">
      <c r="F695" s="156"/>
    </row>
    <row r="696">
      <c r="F696" s="156"/>
    </row>
    <row r="697">
      <c r="F697" s="156"/>
    </row>
    <row r="698">
      <c r="F698" s="156"/>
    </row>
    <row r="699">
      <c r="F699" s="156"/>
    </row>
    <row r="700">
      <c r="F700" s="156"/>
    </row>
    <row r="701">
      <c r="F701" s="156"/>
    </row>
    <row r="702">
      <c r="F702" s="156"/>
    </row>
    <row r="703">
      <c r="F703" s="156"/>
    </row>
    <row r="704">
      <c r="F704" s="156"/>
    </row>
    <row r="705">
      <c r="F705" s="156"/>
    </row>
    <row r="706">
      <c r="F706" s="156"/>
    </row>
    <row r="707">
      <c r="F707" s="156"/>
    </row>
    <row r="708">
      <c r="F708" s="156"/>
    </row>
    <row r="709">
      <c r="F709" s="156"/>
    </row>
    <row r="710">
      <c r="F710" s="156"/>
    </row>
    <row r="711">
      <c r="F711" s="156"/>
    </row>
    <row r="712">
      <c r="F712" s="156"/>
    </row>
    <row r="713">
      <c r="F713" s="156"/>
    </row>
    <row r="714">
      <c r="F714" s="156"/>
    </row>
    <row r="715">
      <c r="F715" s="156"/>
    </row>
    <row r="716">
      <c r="F716" s="156"/>
    </row>
    <row r="717">
      <c r="F717" s="156"/>
    </row>
    <row r="718">
      <c r="F718" s="156"/>
    </row>
    <row r="719">
      <c r="F719" s="156"/>
    </row>
    <row r="720">
      <c r="F720" s="156"/>
    </row>
    <row r="721">
      <c r="F721" s="156"/>
    </row>
    <row r="722">
      <c r="F722" s="156"/>
    </row>
    <row r="723">
      <c r="F723" s="156"/>
    </row>
    <row r="724">
      <c r="F724" s="156"/>
    </row>
    <row r="725">
      <c r="F725" s="156"/>
    </row>
    <row r="726">
      <c r="F726" s="156"/>
    </row>
    <row r="727">
      <c r="F727" s="156"/>
    </row>
    <row r="728">
      <c r="F728" s="156"/>
    </row>
    <row r="729">
      <c r="F729" s="156"/>
    </row>
    <row r="730">
      <c r="F730" s="156"/>
    </row>
    <row r="731">
      <c r="F731" s="156"/>
    </row>
    <row r="732">
      <c r="F732" s="156"/>
    </row>
    <row r="733">
      <c r="F733" s="156"/>
    </row>
    <row r="734">
      <c r="F734" s="156"/>
    </row>
    <row r="735">
      <c r="F735" s="156"/>
    </row>
    <row r="736">
      <c r="F736" s="156"/>
    </row>
    <row r="737">
      <c r="F737" s="156"/>
    </row>
    <row r="738">
      <c r="F738" s="156"/>
    </row>
    <row r="739">
      <c r="F739" s="156"/>
    </row>
    <row r="740">
      <c r="F740" s="156"/>
    </row>
    <row r="741">
      <c r="F741" s="156"/>
    </row>
    <row r="742">
      <c r="F742" s="156"/>
    </row>
    <row r="743">
      <c r="F743" s="156"/>
    </row>
    <row r="744">
      <c r="F744" s="156"/>
    </row>
    <row r="745">
      <c r="F745" s="156"/>
    </row>
    <row r="746">
      <c r="F746" s="156"/>
    </row>
    <row r="747">
      <c r="F747" s="156"/>
    </row>
    <row r="748">
      <c r="F748" s="156"/>
    </row>
    <row r="749">
      <c r="F749" s="156"/>
    </row>
    <row r="750">
      <c r="F750" s="156"/>
    </row>
    <row r="751">
      <c r="F751" s="156"/>
    </row>
    <row r="752">
      <c r="F752" s="156"/>
    </row>
    <row r="753">
      <c r="F753" s="156"/>
    </row>
    <row r="754">
      <c r="F754" s="156"/>
    </row>
    <row r="755">
      <c r="F755" s="156"/>
    </row>
    <row r="756">
      <c r="F756" s="156"/>
    </row>
    <row r="757">
      <c r="F757" s="156"/>
    </row>
    <row r="758">
      <c r="F758" s="156"/>
    </row>
    <row r="759">
      <c r="F759" s="156"/>
    </row>
    <row r="760">
      <c r="F760" s="156"/>
    </row>
    <row r="761">
      <c r="F761" s="156"/>
    </row>
    <row r="762">
      <c r="F762" s="156"/>
    </row>
    <row r="763">
      <c r="F763" s="156"/>
    </row>
    <row r="764">
      <c r="F764" s="156"/>
    </row>
    <row r="765">
      <c r="F765" s="156"/>
    </row>
    <row r="766">
      <c r="F766" s="156"/>
    </row>
    <row r="767">
      <c r="F767" s="156"/>
    </row>
    <row r="768">
      <c r="F768" s="156"/>
    </row>
    <row r="769">
      <c r="F769" s="156"/>
    </row>
    <row r="770">
      <c r="F770" s="156"/>
    </row>
    <row r="771">
      <c r="F771" s="156"/>
    </row>
    <row r="772">
      <c r="F772" s="156"/>
    </row>
    <row r="773">
      <c r="F773" s="156"/>
    </row>
    <row r="774">
      <c r="F774" s="156"/>
    </row>
    <row r="775">
      <c r="F775" s="156"/>
    </row>
    <row r="776">
      <c r="F776" s="156"/>
    </row>
    <row r="777">
      <c r="F777" s="156"/>
    </row>
    <row r="778">
      <c r="F778" s="156"/>
    </row>
    <row r="779">
      <c r="F779" s="156"/>
    </row>
    <row r="780">
      <c r="F780" s="156"/>
    </row>
    <row r="781">
      <c r="F781" s="156"/>
    </row>
    <row r="782">
      <c r="F782" s="156"/>
    </row>
    <row r="783">
      <c r="F783" s="156"/>
    </row>
    <row r="784">
      <c r="F784" s="156"/>
    </row>
    <row r="785">
      <c r="F785" s="156"/>
    </row>
    <row r="786">
      <c r="F786" s="156"/>
    </row>
    <row r="787">
      <c r="F787" s="156"/>
    </row>
    <row r="788">
      <c r="F788" s="156"/>
    </row>
    <row r="789">
      <c r="F789" s="156"/>
    </row>
    <row r="790">
      <c r="F790" s="156"/>
    </row>
    <row r="791">
      <c r="F791" s="156"/>
    </row>
    <row r="792">
      <c r="F792" s="156"/>
    </row>
    <row r="793">
      <c r="F793" s="156"/>
    </row>
    <row r="794">
      <c r="F794" s="156"/>
    </row>
    <row r="795">
      <c r="F795" s="156"/>
    </row>
    <row r="796">
      <c r="F796" s="156"/>
    </row>
    <row r="797">
      <c r="F797" s="156"/>
    </row>
    <row r="798">
      <c r="F798" s="156"/>
    </row>
    <row r="799">
      <c r="F799" s="156"/>
    </row>
    <row r="800">
      <c r="F800" s="156"/>
    </row>
    <row r="801">
      <c r="F801" s="156"/>
    </row>
    <row r="802">
      <c r="F802" s="156"/>
    </row>
    <row r="803">
      <c r="F803" s="156"/>
    </row>
    <row r="804">
      <c r="F804" s="156"/>
    </row>
    <row r="805">
      <c r="F805" s="156"/>
    </row>
    <row r="806">
      <c r="F806" s="156"/>
    </row>
    <row r="807">
      <c r="F807" s="156"/>
    </row>
    <row r="808">
      <c r="F808" s="156"/>
    </row>
    <row r="809">
      <c r="F809" s="156"/>
    </row>
    <row r="810">
      <c r="F810" s="156"/>
    </row>
    <row r="811">
      <c r="F811" s="156"/>
    </row>
    <row r="812">
      <c r="F812" s="156"/>
    </row>
    <row r="813">
      <c r="F813" s="156"/>
    </row>
    <row r="814">
      <c r="F814" s="156"/>
    </row>
    <row r="815">
      <c r="F815" s="156"/>
    </row>
    <row r="816">
      <c r="F816" s="156"/>
    </row>
    <row r="817">
      <c r="F817" s="156"/>
    </row>
    <row r="818">
      <c r="F818" s="156"/>
    </row>
    <row r="819">
      <c r="F819" s="156"/>
    </row>
    <row r="820">
      <c r="F820" s="156"/>
    </row>
    <row r="821">
      <c r="F821" s="156"/>
    </row>
    <row r="822">
      <c r="F822" s="156"/>
    </row>
    <row r="823">
      <c r="F823" s="156"/>
    </row>
    <row r="824">
      <c r="F824" s="156"/>
    </row>
    <row r="825">
      <c r="F825" s="156"/>
    </row>
    <row r="826">
      <c r="F826" s="156"/>
    </row>
    <row r="827">
      <c r="F827" s="156"/>
    </row>
    <row r="828">
      <c r="F828" s="156"/>
    </row>
    <row r="829">
      <c r="F829" s="156"/>
    </row>
    <row r="830">
      <c r="F830" s="156"/>
    </row>
    <row r="831">
      <c r="F831" s="156"/>
    </row>
    <row r="832">
      <c r="F832" s="156"/>
    </row>
    <row r="833">
      <c r="F833" s="156"/>
    </row>
    <row r="834">
      <c r="F834" s="156"/>
    </row>
    <row r="835">
      <c r="F835" s="156"/>
    </row>
    <row r="836">
      <c r="F836" s="156"/>
    </row>
    <row r="837">
      <c r="F837" s="156"/>
    </row>
    <row r="838">
      <c r="F838" s="156"/>
    </row>
    <row r="839">
      <c r="F839" s="156"/>
    </row>
    <row r="840">
      <c r="F840" s="156"/>
    </row>
    <row r="841">
      <c r="F841" s="156"/>
    </row>
    <row r="842">
      <c r="F842" s="156"/>
    </row>
    <row r="843">
      <c r="F843" s="156"/>
    </row>
    <row r="844">
      <c r="F844" s="156"/>
    </row>
    <row r="845">
      <c r="F845" s="156"/>
    </row>
    <row r="846">
      <c r="F846" s="156"/>
    </row>
    <row r="847">
      <c r="F847" s="156"/>
    </row>
    <row r="848">
      <c r="F848" s="156"/>
    </row>
    <row r="849">
      <c r="F849" s="156"/>
    </row>
    <row r="850">
      <c r="F850" s="156"/>
    </row>
    <row r="851">
      <c r="F851" s="156"/>
    </row>
    <row r="852">
      <c r="F852" s="156"/>
    </row>
    <row r="853">
      <c r="F853" s="156"/>
    </row>
    <row r="854">
      <c r="F854" s="156"/>
    </row>
    <row r="855">
      <c r="F855" s="156"/>
    </row>
    <row r="856">
      <c r="F856" s="156"/>
    </row>
    <row r="857">
      <c r="F857" s="156"/>
    </row>
    <row r="858">
      <c r="F858" s="156"/>
    </row>
    <row r="859">
      <c r="F859" s="156"/>
    </row>
    <row r="860">
      <c r="F860" s="156"/>
    </row>
    <row r="861">
      <c r="F861" s="156"/>
    </row>
    <row r="862">
      <c r="F862" s="156"/>
    </row>
    <row r="863">
      <c r="F863" s="156"/>
    </row>
    <row r="864">
      <c r="F864" s="156"/>
    </row>
    <row r="865">
      <c r="F865" s="156"/>
    </row>
    <row r="866">
      <c r="F866" s="156"/>
    </row>
    <row r="867">
      <c r="F867" s="156"/>
    </row>
    <row r="868">
      <c r="F868" s="156"/>
    </row>
    <row r="869">
      <c r="F869" s="156"/>
    </row>
    <row r="870">
      <c r="F870" s="156"/>
    </row>
    <row r="871">
      <c r="F871" s="156"/>
    </row>
    <row r="872">
      <c r="F872" s="156"/>
    </row>
    <row r="873">
      <c r="F873" s="156"/>
    </row>
    <row r="874">
      <c r="F874" s="156"/>
    </row>
    <row r="875">
      <c r="F875" s="156"/>
    </row>
    <row r="876">
      <c r="F876" s="156"/>
    </row>
    <row r="877">
      <c r="F877" s="156"/>
    </row>
    <row r="878">
      <c r="F878" s="156"/>
    </row>
    <row r="879">
      <c r="F879" s="156"/>
    </row>
    <row r="880">
      <c r="F880" s="156"/>
    </row>
    <row r="881">
      <c r="F881" s="156"/>
    </row>
    <row r="882">
      <c r="F882" s="156"/>
    </row>
    <row r="883">
      <c r="F883" s="156"/>
    </row>
    <row r="884">
      <c r="F884" s="156"/>
    </row>
    <row r="885">
      <c r="F885" s="156"/>
    </row>
    <row r="886">
      <c r="F886" s="156"/>
    </row>
    <row r="887">
      <c r="F887" s="156"/>
    </row>
    <row r="888">
      <c r="F888" s="156"/>
    </row>
    <row r="889">
      <c r="F889" s="156"/>
    </row>
    <row r="890">
      <c r="F890" s="156"/>
    </row>
    <row r="891">
      <c r="F891" s="156"/>
    </row>
    <row r="892">
      <c r="F892" s="156"/>
    </row>
    <row r="893">
      <c r="F893" s="156"/>
    </row>
    <row r="894">
      <c r="F894" s="156"/>
    </row>
    <row r="895">
      <c r="F895" s="156"/>
    </row>
    <row r="896">
      <c r="F896" s="156"/>
    </row>
    <row r="897">
      <c r="F897" s="156"/>
    </row>
    <row r="898">
      <c r="F898" s="156"/>
    </row>
    <row r="899">
      <c r="F899" s="156"/>
    </row>
    <row r="900">
      <c r="F900" s="156"/>
    </row>
    <row r="901">
      <c r="F901" s="156"/>
    </row>
    <row r="902">
      <c r="F902" s="156"/>
    </row>
    <row r="903">
      <c r="F903" s="156"/>
    </row>
    <row r="904">
      <c r="F904" s="156"/>
    </row>
    <row r="905">
      <c r="F905" s="156"/>
    </row>
    <row r="906">
      <c r="F906" s="156"/>
    </row>
    <row r="907">
      <c r="F907" s="156"/>
    </row>
    <row r="908">
      <c r="F908" s="156"/>
    </row>
    <row r="909">
      <c r="F909" s="156"/>
    </row>
    <row r="910">
      <c r="F910" s="156"/>
    </row>
    <row r="911">
      <c r="F911" s="156"/>
    </row>
    <row r="912">
      <c r="F912" s="156"/>
    </row>
    <row r="913">
      <c r="F913" s="156"/>
    </row>
    <row r="914">
      <c r="F914" s="156"/>
    </row>
    <row r="915">
      <c r="F915" s="156"/>
    </row>
    <row r="916">
      <c r="F916" s="156"/>
    </row>
    <row r="917">
      <c r="F917" s="156"/>
    </row>
    <row r="918">
      <c r="F918" s="156"/>
    </row>
    <row r="919">
      <c r="F919" s="156"/>
    </row>
    <row r="920">
      <c r="F920" s="156"/>
    </row>
    <row r="921">
      <c r="F921" s="156"/>
    </row>
    <row r="922">
      <c r="F922" s="156"/>
    </row>
    <row r="923">
      <c r="F923" s="156"/>
    </row>
    <row r="924">
      <c r="F924" s="156"/>
    </row>
    <row r="925">
      <c r="F925" s="156"/>
    </row>
    <row r="926">
      <c r="F926" s="156"/>
    </row>
    <row r="927">
      <c r="F927" s="156"/>
    </row>
    <row r="928">
      <c r="F928" s="156"/>
    </row>
    <row r="929">
      <c r="F929" s="156"/>
    </row>
    <row r="930">
      <c r="F930" s="156"/>
    </row>
    <row r="931">
      <c r="F931" s="156"/>
    </row>
    <row r="932">
      <c r="F932" s="156"/>
    </row>
    <row r="933">
      <c r="F933" s="156"/>
    </row>
    <row r="934">
      <c r="F934" s="156"/>
    </row>
    <row r="935">
      <c r="F935" s="156"/>
    </row>
    <row r="936">
      <c r="F936" s="156"/>
    </row>
    <row r="937">
      <c r="F937" s="156"/>
    </row>
    <row r="938">
      <c r="F938" s="156"/>
    </row>
    <row r="939">
      <c r="F939" s="156"/>
    </row>
    <row r="940">
      <c r="F940" s="156"/>
    </row>
    <row r="941">
      <c r="F941" s="156"/>
    </row>
    <row r="942">
      <c r="F942" s="156"/>
    </row>
    <row r="943">
      <c r="F943" s="156"/>
    </row>
    <row r="944">
      <c r="F944" s="156"/>
    </row>
    <row r="945">
      <c r="F945" s="156"/>
    </row>
    <row r="946">
      <c r="F946" s="156"/>
    </row>
    <row r="947">
      <c r="F947" s="156"/>
    </row>
    <row r="948">
      <c r="F948" s="156"/>
    </row>
    <row r="949">
      <c r="F949" s="156"/>
    </row>
    <row r="950">
      <c r="F950" s="156"/>
    </row>
    <row r="951">
      <c r="F951" s="156"/>
    </row>
    <row r="952">
      <c r="F952" s="156"/>
    </row>
    <row r="953">
      <c r="F953" s="156"/>
    </row>
    <row r="954">
      <c r="F954" s="156"/>
    </row>
    <row r="955">
      <c r="F955" s="156"/>
    </row>
    <row r="956">
      <c r="F956" s="156"/>
    </row>
    <row r="957">
      <c r="F957" s="156"/>
    </row>
    <row r="958">
      <c r="F958" s="156"/>
    </row>
    <row r="959">
      <c r="F959" s="156"/>
    </row>
    <row r="960">
      <c r="F960" s="156"/>
    </row>
    <row r="961">
      <c r="F961" s="156"/>
    </row>
    <row r="962">
      <c r="F962" s="156"/>
    </row>
    <row r="963">
      <c r="F963" s="156"/>
    </row>
    <row r="964">
      <c r="F964" s="156"/>
    </row>
    <row r="965">
      <c r="F965" s="156"/>
    </row>
    <row r="966">
      <c r="F966" s="156"/>
    </row>
    <row r="967">
      <c r="F967" s="156"/>
    </row>
    <row r="968">
      <c r="F968" s="156"/>
    </row>
    <row r="969">
      <c r="F969" s="156"/>
    </row>
    <row r="970">
      <c r="F970" s="156"/>
    </row>
    <row r="971">
      <c r="F971" s="156"/>
    </row>
    <row r="972">
      <c r="F972" s="156"/>
    </row>
    <row r="973">
      <c r="F973" s="156"/>
    </row>
    <row r="974">
      <c r="F974" s="156"/>
    </row>
    <row r="975">
      <c r="F975" s="156"/>
    </row>
    <row r="976">
      <c r="F976" s="156"/>
    </row>
    <row r="977">
      <c r="F977" s="156"/>
    </row>
    <row r="978">
      <c r="F978" s="156"/>
    </row>
    <row r="979">
      <c r="F979" s="156"/>
    </row>
    <row r="980">
      <c r="F980" s="156"/>
    </row>
    <row r="981">
      <c r="F981" s="156"/>
    </row>
    <row r="982">
      <c r="F982" s="156"/>
    </row>
    <row r="983">
      <c r="F983" s="156"/>
    </row>
    <row r="984">
      <c r="F984" s="156"/>
    </row>
    <row r="985">
      <c r="F985" s="156"/>
    </row>
    <row r="986">
      <c r="F986" s="156"/>
    </row>
    <row r="987">
      <c r="F987" s="156"/>
    </row>
    <row r="988">
      <c r="F988" s="156"/>
    </row>
    <row r="989">
      <c r="F989" s="156"/>
    </row>
    <row r="990">
      <c r="F990" s="156"/>
    </row>
    <row r="991">
      <c r="F991" s="156"/>
    </row>
  </sheetData>
  <mergeCells count="18">
    <mergeCell ref="B2:C2"/>
    <mergeCell ref="E2:J6"/>
    <mergeCell ref="I7:J7"/>
    <mergeCell ref="E8:J8"/>
    <mergeCell ref="I9:J9"/>
    <mergeCell ref="I10:J10"/>
    <mergeCell ref="I11:J11"/>
    <mergeCell ref="I19:J19"/>
    <mergeCell ref="I20:J20"/>
    <mergeCell ref="B22:C22"/>
    <mergeCell ref="E24:J24"/>
    <mergeCell ref="I12:J12"/>
    <mergeCell ref="E13:J13"/>
    <mergeCell ref="I14:J14"/>
    <mergeCell ref="I15:J15"/>
    <mergeCell ref="I16:J16"/>
    <mergeCell ref="I17:J17"/>
    <mergeCell ref="I18:J18"/>
  </mergeCells>
  <hyperlinks>
    <hyperlink r:id="rId4" ref="C9"/>
    <hyperlink r:id="rId5" ref="C17"/>
    <hyperlink r:id="rId6" ref="C18"/>
    <hyperlink r:id="rId7" ref="E24"/>
  </hyperlinks>
  <drawing r:id="rId8"/>
  <legacy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2" max="2" width="12.75"/>
  </cols>
  <sheetData>
    <row r="2">
      <c r="B2" s="384" t="s">
        <v>1032</v>
      </c>
      <c r="F2" s="389" t="s">
        <v>1035</v>
      </c>
      <c r="M2" s="392" t="s">
        <v>1036</v>
      </c>
      <c r="N2" s="16"/>
      <c r="O2" s="16"/>
      <c r="P2" s="17"/>
    </row>
    <row r="3">
      <c r="F3" s="394" t="s">
        <v>1038</v>
      </c>
      <c r="M3" s="397">
        <v>1.0</v>
      </c>
      <c r="N3" s="399" t="s">
        <v>1043</v>
      </c>
      <c r="P3" s="183"/>
    </row>
    <row r="4">
      <c r="M4" s="402">
        <v>2.0</v>
      </c>
      <c r="N4" s="403" t="s">
        <v>1047</v>
      </c>
      <c r="P4" s="183"/>
    </row>
    <row r="5">
      <c r="B5" s="404" t="s">
        <v>1048</v>
      </c>
      <c r="M5" s="405">
        <v>3.0</v>
      </c>
      <c r="N5" s="406" t="s">
        <v>1049</v>
      </c>
      <c r="P5" s="183"/>
    </row>
    <row r="6" ht="18.75" customHeight="1">
      <c r="M6" s="407">
        <v>4.0</v>
      </c>
      <c r="N6" s="408" t="s">
        <v>1054</v>
      </c>
      <c r="O6" s="186"/>
      <c r="P6" s="187"/>
    </row>
    <row r="7" ht="20.25" customHeight="1">
      <c r="L7" s="125"/>
      <c r="M7" s="125"/>
      <c r="N7" s="125"/>
      <c r="O7" s="125"/>
      <c r="P7" s="125"/>
    </row>
    <row r="8">
      <c r="B8" s="409" t="s">
        <v>1057</v>
      </c>
      <c r="C8" s="113"/>
      <c r="D8" s="113"/>
      <c r="E8" s="113"/>
      <c r="F8" s="113"/>
      <c r="G8" s="113"/>
      <c r="H8" s="113"/>
      <c r="I8" s="113"/>
      <c r="J8" s="113"/>
      <c r="K8" s="113"/>
      <c r="L8" s="113"/>
      <c r="M8" s="113"/>
      <c r="N8" s="113"/>
      <c r="O8" s="113"/>
      <c r="P8" s="114"/>
    </row>
    <row r="9" ht="20.25" customHeight="1">
      <c r="B9" s="410"/>
      <c r="L9" s="125"/>
      <c r="M9" s="125"/>
      <c r="N9" s="125"/>
      <c r="O9" s="125"/>
      <c r="P9" s="411"/>
    </row>
    <row r="10">
      <c r="B10" s="412" t="s">
        <v>1061</v>
      </c>
      <c r="C10" s="16"/>
      <c r="D10" s="17"/>
      <c r="F10" s="413" t="s">
        <v>1062</v>
      </c>
      <c r="G10" s="16"/>
      <c r="H10" s="17"/>
      <c r="J10" s="414" t="s">
        <v>1063</v>
      </c>
      <c r="K10" s="16"/>
      <c r="L10" s="17"/>
      <c r="M10" s="415"/>
      <c r="N10" s="416" t="s">
        <v>1064</v>
      </c>
      <c r="O10" s="16"/>
      <c r="P10" s="17"/>
    </row>
    <row r="11">
      <c r="B11" s="44"/>
      <c r="D11" s="183"/>
      <c r="F11" s="44"/>
      <c r="H11" s="183"/>
      <c r="J11" s="44"/>
      <c r="L11" s="183"/>
      <c r="M11" s="415"/>
      <c r="N11" s="44"/>
      <c r="P11" s="183"/>
    </row>
    <row r="12">
      <c r="B12" s="44"/>
      <c r="D12" s="183"/>
      <c r="F12" s="44"/>
      <c r="H12" s="183"/>
      <c r="J12" s="44"/>
      <c r="L12" s="183"/>
      <c r="M12" s="417"/>
      <c r="N12" s="44"/>
      <c r="P12" s="183"/>
    </row>
    <row r="13">
      <c r="B13" s="44"/>
      <c r="D13" s="183"/>
      <c r="F13" s="44"/>
      <c r="H13" s="183"/>
      <c r="J13" s="44"/>
      <c r="L13" s="183"/>
      <c r="N13" s="44"/>
      <c r="P13" s="183"/>
    </row>
    <row r="14">
      <c r="B14" s="44"/>
      <c r="D14" s="183"/>
      <c r="F14" s="44"/>
      <c r="H14" s="183"/>
      <c r="J14" s="44"/>
      <c r="L14" s="183"/>
      <c r="N14" s="44"/>
      <c r="P14" s="183"/>
    </row>
    <row r="15">
      <c r="B15" s="44"/>
      <c r="D15" s="183"/>
      <c r="F15" s="44"/>
      <c r="H15" s="183"/>
      <c r="J15" s="44"/>
      <c r="L15" s="183"/>
      <c r="N15" s="44"/>
      <c r="P15" s="183"/>
    </row>
    <row r="16">
      <c r="B16" s="44"/>
      <c r="D16" s="183"/>
      <c r="F16" s="44"/>
      <c r="H16" s="183"/>
      <c r="J16" s="44"/>
      <c r="L16" s="183"/>
      <c r="N16" s="44"/>
      <c r="P16" s="183"/>
    </row>
    <row r="17">
      <c r="B17" s="44"/>
      <c r="D17" s="183"/>
      <c r="F17" s="44"/>
      <c r="H17" s="183"/>
      <c r="J17" s="44"/>
      <c r="L17" s="183"/>
      <c r="N17" s="44"/>
      <c r="P17" s="183"/>
    </row>
    <row r="18">
      <c r="B18" s="185"/>
      <c r="C18" s="186"/>
      <c r="D18" s="187"/>
      <c r="F18" s="185"/>
      <c r="G18" s="186"/>
      <c r="H18" s="187"/>
      <c r="J18" s="185"/>
      <c r="K18" s="186"/>
      <c r="L18" s="187"/>
      <c r="N18" s="185"/>
      <c r="O18" s="186"/>
      <c r="P18" s="187"/>
    </row>
    <row r="19">
      <c r="B19" s="294"/>
      <c r="C19" s="296"/>
      <c r="D19" s="296"/>
      <c r="E19" s="296"/>
      <c r="F19" s="296"/>
      <c r="G19" s="296"/>
      <c r="H19" s="296"/>
      <c r="I19" s="296"/>
      <c r="J19" s="296"/>
      <c r="K19" s="296"/>
      <c r="L19" s="296"/>
      <c r="M19" s="296"/>
      <c r="N19" s="296"/>
      <c r="O19" s="296"/>
      <c r="P19" s="297"/>
    </row>
    <row r="20">
      <c r="B20" s="419"/>
      <c r="C20" s="419"/>
      <c r="D20" s="419"/>
      <c r="E20" s="419"/>
      <c r="F20" s="419"/>
      <c r="G20" s="419"/>
      <c r="H20" s="419"/>
      <c r="I20" s="419"/>
      <c r="J20" s="419"/>
      <c r="K20" s="419"/>
      <c r="L20" s="419"/>
      <c r="M20" s="419"/>
      <c r="N20" s="419"/>
      <c r="O20" s="419"/>
      <c r="P20" s="419"/>
    </row>
    <row r="21">
      <c r="B21" s="420" t="s">
        <v>1069</v>
      </c>
      <c r="C21" s="16"/>
      <c r="D21" s="16"/>
      <c r="E21" s="16"/>
      <c r="F21" s="16"/>
      <c r="G21" s="16"/>
      <c r="H21" s="16"/>
      <c r="I21" s="16"/>
      <c r="J21" s="16"/>
      <c r="K21" s="16"/>
      <c r="L21" s="16"/>
      <c r="M21" s="16"/>
      <c r="N21" s="16"/>
      <c r="O21" s="16"/>
      <c r="P21" s="16"/>
    </row>
    <row r="22">
      <c r="B22" s="186"/>
      <c r="C22" s="186"/>
      <c r="D22" s="186"/>
      <c r="E22" s="186"/>
      <c r="F22" s="186"/>
      <c r="G22" s="186"/>
      <c r="H22" s="186"/>
      <c r="I22" s="186"/>
      <c r="J22" s="186"/>
      <c r="K22" s="186"/>
      <c r="L22" s="186"/>
      <c r="M22" s="186"/>
      <c r="N22" s="186"/>
      <c r="O22" s="186"/>
      <c r="P22" s="186"/>
    </row>
    <row r="23">
      <c r="B23" s="422"/>
      <c r="C23" s="422"/>
      <c r="D23" s="422"/>
      <c r="E23" s="422"/>
      <c r="F23" s="422"/>
      <c r="G23" s="422"/>
      <c r="H23" s="422"/>
      <c r="I23" s="422"/>
      <c r="J23" s="422"/>
      <c r="K23" s="422"/>
      <c r="L23" s="422"/>
      <c r="M23" s="422"/>
    </row>
    <row r="24">
      <c r="B24" s="423" t="s">
        <v>1074</v>
      </c>
      <c r="C24" s="16"/>
      <c r="D24" s="16"/>
      <c r="E24" s="16"/>
      <c r="F24" s="16"/>
      <c r="G24" s="16"/>
      <c r="H24" s="17"/>
      <c r="J24" s="424" t="s">
        <v>1077</v>
      </c>
    </row>
    <row r="25">
      <c r="B25" s="44"/>
      <c r="H25" s="183"/>
    </row>
    <row r="26">
      <c r="B26" s="410"/>
      <c r="H26" s="425"/>
      <c r="J26" s="426"/>
      <c r="K26" s="125" t="s">
        <v>1080</v>
      </c>
    </row>
    <row r="27">
      <c r="B27" s="410"/>
      <c r="H27" s="425"/>
      <c r="J27" s="427"/>
      <c r="K27" s="125" t="s">
        <v>1081</v>
      </c>
    </row>
    <row r="28">
      <c r="B28" s="410"/>
      <c r="H28" s="425"/>
      <c r="J28" s="428"/>
      <c r="K28" s="125" t="s">
        <v>1082</v>
      </c>
    </row>
    <row r="29">
      <c r="B29" s="410"/>
      <c r="H29" s="425"/>
      <c r="J29" s="429" t="s">
        <v>1083</v>
      </c>
      <c r="K29" s="125" t="s">
        <v>1084</v>
      </c>
    </row>
    <row r="30">
      <c r="B30" s="410"/>
      <c r="H30" s="425"/>
    </row>
    <row r="31">
      <c r="B31" s="410"/>
      <c r="H31" s="425"/>
    </row>
    <row r="32">
      <c r="B32" s="410"/>
      <c r="H32" s="425"/>
      <c r="J32" s="423" t="s">
        <v>1085</v>
      </c>
      <c r="K32" s="16"/>
      <c r="L32" s="16"/>
      <c r="M32" s="16"/>
      <c r="N32" s="16"/>
      <c r="O32" s="16"/>
      <c r="P32" s="17"/>
    </row>
    <row r="33">
      <c r="B33" s="410"/>
      <c r="H33" s="425"/>
      <c r="J33" s="44"/>
      <c r="P33" s="183"/>
    </row>
    <row r="34">
      <c r="B34" s="410"/>
      <c r="H34" s="425"/>
      <c r="J34" s="410"/>
      <c r="P34" s="425"/>
    </row>
    <row r="35">
      <c r="B35" s="410"/>
      <c r="H35" s="425"/>
      <c r="J35" s="410"/>
      <c r="P35" s="425"/>
    </row>
    <row r="36">
      <c r="B36" s="410"/>
      <c r="H36" s="425"/>
      <c r="J36" s="410"/>
      <c r="P36" s="425"/>
    </row>
    <row r="37">
      <c r="B37" s="410"/>
      <c r="H37" s="425"/>
      <c r="J37" s="410"/>
      <c r="P37" s="425"/>
    </row>
    <row r="38">
      <c r="B38" s="410"/>
      <c r="H38" s="425"/>
      <c r="J38" s="410"/>
      <c r="P38" s="425"/>
    </row>
    <row r="39">
      <c r="B39" s="294"/>
      <c r="C39" s="296"/>
      <c r="D39" s="296"/>
      <c r="E39" s="296"/>
      <c r="F39" s="296"/>
      <c r="G39" s="296"/>
      <c r="H39" s="297"/>
      <c r="J39" s="410"/>
      <c r="P39" s="425"/>
    </row>
    <row r="40">
      <c r="J40" s="410"/>
      <c r="P40" s="425"/>
    </row>
    <row r="41">
      <c r="B41" s="432" t="s">
        <v>1087</v>
      </c>
      <c r="C41" s="16"/>
      <c r="D41" s="16"/>
      <c r="E41" s="16"/>
      <c r="F41" s="16"/>
      <c r="G41" s="16"/>
      <c r="H41" s="17"/>
      <c r="J41" s="410"/>
      <c r="P41" s="425"/>
    </row>
    <row r="42">
      <c r="B42" s="44"/>
      <c r="H42" s="183"/>
      <c r="J42" s="433"/>
      <c r="P42" s="425"/>
    </row>
    <row r="43">
      <c r="B43" s="410"/>
      <c r="H43" s="425"/>
      <c r="J43" s="410"/>
      <c r="P43" s="425"/>
    </row>
    <row r="44">
      <c r="B44" s="410"/>
      <c r="H44" s="425"/>
      <c r="J44" s="410"/>
      <c r="P44" s="425"/>
    </row>
    <row r="45">
      <c r="B45" s="410"/>
      <c r="H45" s="425"/>
      <c r="J45" s="410"/>
      <c r="P45" s="425"/>
    </row>
    <row r="46">
      <c r="B46" s="410"/>
      <c r="H46" s="425"/>
      <c r="J46" s="410"/>
      <c r="P46" s="425"/>
    </row>
    <row r="47">
      <c r="B47" s="410"/>
      <c r="H47" s="425"/>
      <c r="J47" s="410"/>
      <c r="P47" s="425"/>
    </row>
    <row r="48">
      <c r="B48" s="410"/>
      <c r="H48" s="425"/>
      <c r="J48" s="410"/>
      <c r="P48" s="425"/>
    </row>
    <row r="49">
      <c r="B49" s="410"/>
      <c r="H49" s="425"/>
      <c r="J49" s="410"/>
      <c r="P49" s="425"/>
    </row>
    <row r="50">
      <c r="B50" s="410"/>
      <c r="H50" s="425"/>
      <c r="J50" s="410"/>
      <c r="P50" s="425"/>
    </row>
    <row r="51">
      <c r="B51" s="410"/>
      <c r="H51" s="425"/>
      <c r="J51" s="410"/>
      <c r="P51" s="425"/>
    </row>
    <row r="52">
      <c r="B52" s="410"/>
      <c r="H52" s="425"/>
      <c r="J52" s="410"/>
      <c r="P52" s="425"/>
    </row>
    <row r="53">
      <c r="B53" s="294"/>
      <c r="C53" s="296"/>
      <c r="D53" s="296"/>
      <c r="E53" s="296"/>
      <c r="F53" s="296"/>
      <c r="G53" s="296"/>
      <c r="H53" s="297"/>
      <c r="J53" s="294"/>
      <c r="K53" s="296"/>
      <c r="L53" s="296"/>
      <c r="M53" s="296"/>
      <c r="N53" s="296"/>
      <c r="O53" s="296"/>
      <c r="P53" s="297"/>
    </row>
    <row r="55">
      <c r="B55" s="423" t="s">
        <v>1091</v>
      </c>
      <c r="C55" s="16"/>
      <c r="D55" s="16"/>
      <c r="E55" s="16"/>
      <c r="F55" s="16"/>
      <c r="G55" s="16"/>
      <c r="H55" s="17"/>
      <c r="J55" s="423" t="s">
        <v>1092</v>
      </c>
      <c r="K55" s="16"/>
      <c r="L55" s="16"/>
      <c r="M55" s="16"/>
      <c r="N55" s="16"/>
      <c r="O55" s="16"/>
      <c r="P55" s="17"/>
    </row>
    <row r="56">
      <c r="B56" s="44"/>
      <c r="H56" s="183"/>
      <c r="J56" s="44"/>
      <c r="P56" s="183"/>
    </row>
    <row r="57">
      <c r="B57" s="410"/>
      <c r="H57" s="425"/>
      <c r="J57" s="410"/>
      <c r="P57" s="425"/>
    </row>
    <row r="58">
      <c r="B58" s="410"/>
      <c r="H58" s="425"/>
      <c r="J58" s="410"/>
      <c r="P58" s="425"/>
    </row>
    <row r="59">
      <c r="B59" s="410"/>
      <c r="H59" s="425"/>
      <c r="J59" s="410"/>
      <c r="P59" s="425"/>
    </row>
    <row r="60">
      <c r="B60" s="410"/>
      <c r="H60" s="425"/>
      <c r="J60" s="410"/>
      <c r="P60" s="425"/>
    </row>
    <row r="61">
      <c r="B61" s="410"/>
      <c r="H61" s="425"/>
      <c r="J61" s="410"/>
      <c r="P61" s="425"/>
    </row>
    <row r="62">
      <c r="B62" s="410"/>
      <c r="H62" s="425"/>
      <c r="J62" s="410"/>
      <c r="P62" s="425"/>
    </row>
    <row r="63">
      <c r="B63" s="410"/>
      <c r="H63" s="425"/>
      <c r="J63" s="410"/>
      <c r="P63" s="425"/>
    </row>
    <row r="64">
      <c r="B64" s="410"/>
      <c r="H64" s="425"/>
      <c r="J64" s="410"/>
      <c r="P64" s="425"/>
    </row>
    <row r="65">
      <c r="B65" s="410"/>
      <c r="H65" s="425"/>
      <c r="J65" s="410"/>
      <c r="P65" s="425"/>
    </row>
    <row r="66">
      <c r="B66" s="410"/>
      <c r="H66" s="425"/>
      <c r="J66" s="410"/>
      <c r="P66" s="425"/>
    </row>
    <row r="67">
      <c r="B67" s="410"/>
      <c r="H67" s="425"/>
      <c r="J67" s="410"/>
      <c r="P67" s="425"/>
    </row>
    <row r="68">
      <c r="B68" s="410"/>
      <c r="H68" s="425"/>
      <c r="J68" s="410"/>
      <c r="P68" s="425"/>
    </row>
    <row r="69">
      <c r="B69" s="410"/>
      <c r="H69" s="425"/>
      <c r="J69" s="410"/>
      <c r="P69" s="425"/>
    </row>
    <row r="70">
      <c r="B70" s="410"/>
      <c r="H70" s="425"/>
      <c r="J70" s="410"/>
      <c r="P70" s="425"/>
    </row>
    <row r="71">
      <c r="B71" s="410"/>
      <c r="H71" s="425"/>
      <c r="J71" s="410"/>
      <c r="P71" s="425"/>
    </row>
    <row r="72">
      <c r="B72" s="410"/>
      <c r="H72" s="425"/>
      <c r="J72" s="410"/>
      <c r="P72" s="425"/>
    </row>
    <row r="73">
      <c r="B73" s="410"/>
      <c r="H73" s="425"/>
      <c r="J73" s="410"/>
      <c r="P73" s="425"/>
    </row>
    <row r="74">
      <c r="B74" s="410"/>
      <c r="H74" s="425"/>
      <c r="J74" s="410"/>
      <c r="P74" s="425"/>
    </row>
    <row r="75">
      <c r="B75" s="410"/>
      <c r="H75" s="425"/>
      <c r="J75" s="410"/>
      <c r="P75" s="425"/>
    </row>
    <row r="76">
      <c r="B76" s="294"/>
      <c r="C76" s="296"/>
      <c r="D76" s="296"/>
      <c r="E76" s="296"/>
      <c r="F76" s="296"/>
      <c r="G76" s="296"/>
      <c r="H76" s="297"/>
      <c r="J76" s="294"/>
      <c r="K76" s="296"/>
      <c r="L76" s="296"/>
      <c r="M76" s="296"/>
      <c r="N76" s="296"/>
      <c r="O76" s="296"/>
      <c r="P76" s="297"/>
    </row>
    <row r="78">
      <c r="E78" s="436" t="s">
        <v>1095</v>
      </c>
      <c r="F78" s="154"/>
      <c r="G78" s="154"/>
      <c r="H78" s="154"/>
      <c r="I78" s="154"/>
      <c r="J78" s="154"/>
      <c r="K78" s="154"/>
      <c r="L78" s="154"/>
      <c r="M78" s="155"/>
    </row>
    <row r="79">
      <c r="E79" s="159"/>
      <c r="M79" s="158"/>
    </row>
    <row r="80">
      <c r="E80" s="286"/>
      <c r="M80" s="207"/>
    </row>
    <row r="81">
      <c r="E81" s="286"/>
      <c r="M81" s="207"/>
    </row>
    <row r="82">
      <c r="E82" s="286"/>
      <c r="M82" s="207"/>
    </row>
    <row r="83">
      <c r="E83" s="286"/>
      <c r="M83" s="207"/>
    </row>
    <row r="84">
      <c r="E84" s="286"/>
      <c r="M84" s="207"/>
    </row>
    <row r="85">
      <c r="E85" s="286"/>
      <c r="M85" s="207"/>
    </row>
    <row r="86">
      <c r="E86" s="286"/>
      <c r="M86" s="207"/>
    </row>
    <row r="87">
      <c r="E87" s="286"/>
      <c r="M87" s="207"/>
    </row>
    <row r="88">
      <c r="E88" s="286"/>
      <c r="M88" s="207"/>
    </row>
    <row r="89">
      <c r="E89" s="286"/>
      <c r="M89" s="207"/>
    </row>
    <row r="90">
      <c r="E90" s="286"/>
      <c r="M90" s="207"/>
    </row>
    <row r="91">
      <c r="E91" s="286"/>
      <c r="M91" s="207"/>
    </row>
    <row r="92">
      <c r="E92" s="286"/>
      <c r="M92" s="207"/>
    </row>
    <row r="93">
      <c r="E93" s="286"/>
      <c r="M93" s="207"/>
    </row>
    <row r="94">
      <c r="E94" s="286"/>
      <c r="M94" s="207"/>
    </row>
    <row r="95">
      <c r="E95" s="286"/>
      <c r="M95" s="207"/>
    </row>
    <row r="96">
      <c r="E96" s="286"/>
      <c r="M96" s="207"/>
    </row>
    <row r="97">
      <c r="E97" s="286"/>
      <c r="M97" s="207"/>
    </row>
    <row r="98">
      <c r="E98" s="286"/>
      <c r="M98" s="207"/>
    </row>
    <row r="99">
      <c r="E99" s="286"/>
      <c r="M99" s="207"/>
    </row>
    <row r="100">
      <c r="E100" s="286"/>
      <c r="M100" s="207"/>
    </row>
    <row r="101">
      <c r="E101" s="286"/>
      <c r="M101" s="207"/>
    </row>
    <row r="102">
      <c r="E102" s="286"/>
      <c r="M102" s="207"/>
    </row>
    <row r="103">
      <c r="E103" s="286"/>
      <c r="M103" s="207"/>
    </row>
    <row r="104">
      <c r="E104" s="286"/>
      <c r="M104" s="207"/>
    </row>
    <row r="105">
      <c r="E105" s="286"/>
      <c r="M105" s="207"/>
    </row>
    <row r="106">
      <c r="E106" s="286"/>
      <c r="M106" s="207"/>
    </row>
    <row r="107">
      <c r="E107" s="286"/>
      <c r="M107" s="207"/>
    </row>
    <row r="108">
      <c r="E108" s="305"/>
      <c r="F108" s="306"/>
      <c r="G108" s="306"/>
      <c r="H108" s="306"/>
      <c r="I108" s="306"/>
      <c r="J108" s="306"/>
      <c r="K108" s="306"/>
      <c r="L108" s="306"/>
      <c r="M108" s="307"/>
    </row>
    <row r="110">
      <c r="B110" s="437" t="s">
        <v>1096</v>
      </c>
      <c r="C110" s="154"/>
      <c r="D110" s="154"/>
      <c r="E110" s="154"/>
      <c r="F110" s="154"/>
      <c r="G110" s="154"/>
      <c r="H110" s="155"/>
      <c r="I110" s="11"/>
      <c r="J110" s="438" t="s">
        <v>1097</v>
      </c>
      <c r="K110" s="154"/>
      <c r="L110" s="154"/>
      <c r="M110" s="154"/>
      <c r="N110" s="154"/>
      <c r="O110" s="154"/>
      <c r="P110" s="155"/>
    </row>
    <row r="111">
      <c r="B111" s="159"/>
      <c r="H111" s="158"/>
      <c r="I111" s="11"/>
      <c r="J111" s="159"/>
      <c r="P111" s="158"/>
    </row>
    <row r="112">
      <c r="B112" s="439"/>
      <c r="C112" s="11"/>
      <c r="D112" s="11"/>
      <c r="E112" s="11"/>
      <c r="F112" s="11"/>
      <c r="G112" s="11"/>
      <c r="H112" s="440"/>
      <c r="I112" s="11"/>
      <c r="J112" s="439"/>
      <c r="K112" s="11"/>
      <c r="L112" s="11"/>
      <c r="M112" s="11"/>
      <c r="N112" s="11"/>
      <c r="O112" s="11"/>
      <c r="P112" s="440"/>
    </row>
    <row r="113">
      <c r="B113" s="286"/>
      <c r="H113" s="207"/>
      <c r="J113" s="286"/>
      <c r="P113" s="207"/>
    </row>
    <row r="114">
      <c r="B114" s="286"/>
      <c r="H114" s="207"/>
      <c r="J114" s="286"/>
      <c r="P114" s="207"/>
    </row>
    <row r="115">
      <c r="B115" s="286"/>
      <c r="H115" s="207"/>
      <c r="J115" s="286"/>
      <c r="P115" s="207"/>
    </row>
    <row r="116">
      <c r="B116" s="286"/>
      <c r="H116" s="207"/>
      <c r="J116" s="286"/>
      <c r="P116" s="207"/>
    </row>
    <row r="117">
      <c r="B117" s="286"/>
      <c r="H117" s="207"/>
      <c r="J117" s="286"/>
      <c r="P117" s="207"/>
    </row>
    <row r="118">
      <c r="B118" s="286"/>
      <c r="H118" s="207"/>
      <c r="J118" s="286"/>
      <c r="P118" s="207"/>
    </row>
    <row r="119">
      <c r="B119" s="286"/>
      <c r="H119" s="207"/>
      <c r="J119" s="286"/>
      <c r="P119" s="207"/>
    </row>
    <row r="120">
      <c r="B120" s="286"/>
      <c r="H120" s="207"/>
      <c r="J120" s="286"/>
      <c r="P120" s="207"/>
    </row>
    <row r="121">
      <c r="B121" s="286"/>
      <c r="H121" s="207"/>
      <c r="J121" s="286"/>
      <c r="P121" s="207"/>
    </row>
    <row r="122">
      <c r="B122" s="286"/>
      <c r="H122" s="207"/>
      <c r="J122" s="286"/>
      <c r="P122" s="207"/>
    </row>
    <row r="123">
      <c r="B123" s="286"/>
      <c r="H123" s="207"/>
      <c r="J123" s="286"/>
      <c r="P123" s="207"/>
    </row>
    <row r="124">
      <c r="B124" s="286"/>
      <c r="H124" s="207"/>
      <c r="J124" s="286"/>
      <c r="P124" s="207"/>
    </row>
    <row r="125">
      <c r="B125" s="286"/>
      <c r="H125" s="207"/>
      <c r="J125" s="286"/>
      <c r="P125" s="207"/>
    </row>
    <row r="126">
      <c r="B126" s="286"/>
      <c r="H126" s="207"/>
      <c r="J126" s="286"/>
      <c r="P126" s="207"/>
    </row>
    <row r="127">
      <c r="B127" s="286"/>
      <c r="H127" s="207"/>
      <c r="J127" s="286"/>
      <c r="P127" s="207"/>
    </row>
    <row r="128">
      <c r="B128" s="286"/>
      <c r="H128" s="207"/>
      <c r="J128" s="286"/>
      <c r="P128" s="207"/>
    </row>
    <row r="129">
      <c r="B129" s="286"/>
      <c r="H129" s="207"/>
      <c r="J129" s="286"/>
      <c r="P129" s="207"/>
    </row>
    <row r="130">
      <c r="B130" s="286"/>
      <c r="H130" s="207"/>
      <c r="J130" s="286"/>
      <c r="P130" s="207"/>
    </row>
    <row r="131">
      <c r="B131" s="286"/>
      <c r="H131" s="207"/>
      <c r="J131" s="286"/>
      <c r="P131" s="207"/>
    </row>
    <row r="132">
      <c r="B132" s="286"/>
      <c r="H132" s="207"/>
      <c r="J132" s="286"/>
      <c r="P132" s="207"/>
    </row>
    <row r="133">
      <c r="B133" s="286"/>
      <c r="H133" s="207"/>
      <c r="J133" s="286"/>
      <c r="P133" s="207"/>
    </row>
    <row r="134">
      <c r="B134" s="286"/>
      <c r="H134" s="207"/>
      <c r="J134" s="286"/>
      <c r="P134" s="207"/>
    </row>
    <row r="135">
      <c r="B135" s="286"/>
      <c r="H135" s="207"/>
      <c r="J135" s="286"/>
      <c r="P135" s="207"/>
    </row>
    <row r="136">
      <c r="B136" s="286"/>
      <c r="H136" s="207"/>
      <c r="J136" s="286"/>
      <c r="P136" s="207"/>
    </row>
    <row r="137">
      <c r="B137" s="305"/>
      <c r="C137" s="306"/>
      <c r="D137" s="306"/>
      <c r="E137" s="306"/>
      <c r="F137" s="306"/>
      <c r="G137" s="306"/>
      <c r="H137" s="307"/>
      <c r="J137" s="305"/>
      <c r="K137" s="306"/>
      <c r="L137" s="306"/>
      <c r="M137" s="306"/>
      <c r="N137" s="306"/>
      <c r="O137" s="306"/>
      <c r="P137" s="307"/>
    </row>
  </sheetData>
  <mergeCells count="28">
    <mergeCell ref="N5:P5"/>
    <mergeCell ref="N6:P6"/>
    <mergeCell ref="N10:P18"/>
    <mergeCell ref="F2:L2"/>
    <mergeCell ref="M2:P2"/>
    <mergeCell ref="F3:L3"/>
    <mergeCell ref="N3:P3"/>
    <mergeCell ref="N4:P4"/>
    <mergeCell ref="B5:L6"/>
    <mergeCell ref="B8:P8"/>
    <mergeCell ref="B2:E3"/>
    <mergeCell ref="B10:D18"/>
    <mergeCell ref="F10:H18"/>
    <mergeCell ref="J10:L18"/>
    <mergeCell ref="B21:P22"/>
    <mergeCell ref="B24:H25"/>
    <mergeCell ref="J24:P25"/>
    <mergeCell ref="J55:P56"/>
    <mergeCell ref="E78:M79"/>
    <mergeCell ref="B110:H111"/>
    <mergeCell ref="J110:P111"/>
    <mergeCell ref="K26:P26"/>
    <mergeCell ref="K27:P27"/>
    <mergeCell ref="K28:P28"/>
    <mergeCell ref="K29:P29"/>
    <mergeCell ref="J32:P33"/>
    <mergeCell ref="B41:H42"/>
    <mergeCell ref="B55:H56"/>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20.63"/>
    <col customWidth="1" min="3" max="3" width="15.88"/>
    <col customWidth="1" min="4" max="4" width="26.75"/>
    <col customWidth="1" min="5" max="5" width="12.88"/>
    <col customWidth="1" min="6" max="6" width="13.75"/>
    <col customWidth="1" min="7" max="7" width="125.25"/>
  </cols>
  <sheetData>
    <row r="1">
      <c r="A1" s="385" t="s">
        <v>1033</v>
      </c>
      <c r="E1" s="386"/>
      <c r="F1" s="386"/>
      <c r="G1" s="386"/>
    </row>
    <row r="2">
      <c r="A2" s="387" t="s">
        <v>1034</v>
      </c>
      <c r="E2" s="388"/>
    </row>
    <row r="3">
      <c r="A3" s="390"/>
      <c r="B3" s="391"/>
      <c r="C3" s="391"/>
      <c r="D3" s="386"/>
      <c r="E3" s="386"/>
      <c r="F3" s="386"/>
      <c r="G3" s="386"/>
    </row>
    <row r="4">
      <c r="A4" s="390" t="s">
        <v>1037</v>
      </c>
      <c r="B4" s="391"/>
      <c r="C4" s="391"/>
      <c r="D4" s="386"/>
      <c r="E4" s="386"/>
      <c r="F4" s="386"/>
      <c r="G4" s="386"/>
    </row>
    <row r="5">
      <c r="A5" s="393" t="s">
        <v>784</v>
      </c>
      <c r="B5" s="395" t="s">
        <v>916</v>
      </c>
      <c r="C5" s="395" t="s">
        <v>1039</v>
      </c>
      <c r="D5" s="396" t="s">
        <v>1040</v>
      </c>
      <c r="E5" s="396" t="s">
        <v>1041</v>
      </c>
      <c r="F5" s="396" t="s">
        <v>1042</v>
      </c>
      <c r="G5" s="396" t="s">
        <v>851</v>
      </c>
    </row>
    <row r="6">
      <c r="A6" s="50" t="s">
        <v>27</v>
      </c>
      <c r="B6" s="398" t="s">
        <v>117</v>
      </c>
      <c r="C6" s="400">
        <v>11999.0</v>
      </c>
      <c r="D6" s="273" t="s">
        <v>1044</v>
      </c>
      <c r="E6" s="273" t="s">
        <v>1045</v>
      </c>
      <c r="F6" s="401" t="s">
        <v>1046</v>
      </c>
    </row>
    <row r="7">
      <c r="A7" s="50" t="s">
        <v>24</v>
      </c>
      <c r="B7" s="398" t="s">
        <v>117</v>
      </c>
      <c r="C7" s="400">
        <v>8499.0</v>
      </c>
      <c r="D7" s="273" t="s">
        <v>1044</v>
      </c>
      <c r="E7" s="273" t="s">
        <v>1045</v>
      </c>
      <c r="F7" s="401" t="s">
        <v>1046</v>
      </c>
    </row>
    <row r="8">
      <c r="A8" s="50" t="s">
        <v>21</v>
      </c>
      <c r="B8" s="398" t="s">
        <v>117</v>
      </c>
      <c r="C8" s="400">
        <v>6499.0</v>
      </c>
      <c r="D8" s="273" t="s">
        <v>1044</v>
      </c>
      <c r="E8" s="273" t="s">
        <v>1045</v>
      </c>
      <c r="F8" s="401" t="s">
        <v>1046</v>
      </c>
    </row>
    <row r="9">
      <c r="A9" s="50" t="s">
        <v>19</v>
      </c>
      <c r="B9" s="398" t="s">
        <v>117</v>
      </c>
      <c r="C9" s="400">
        <v>5999.0</v>
      </c>
      <c r="D9" s="273" t="s">
        <v>1044</v>
      </c>
      <c r="E9" s="273" t="s">
        <v>1045</v>
      </c>
      <c r="F9" s="401" t="s">
        <v>1046</v>
      </c>
    </row>
    <row r="10">
      <c r="A10" s="50" t="s">
        <v>16</v>
      </c>
      <c r="B10" s="398" t="s">
        <v>117</v>
      </c>
      <c r="C10" s="400">
        <v>3299.0</v>
      </c>
      <c r="D10" s="273" t="s">
        <v>1044</v>
      </c>
      <c r="E10" s="273" t="s">
        <v>1045</v>
      </c>
      <c r="F10" s="401" t="s">
        <v>1046</v>
      </c>
    </row>
    <row r="11">
      <c r="A11" s="50" t="s">
        <v>12</v>
      </c>
      <c r="B11" s="398" t="s">
        <v>117</v>
      </c>
      <c r="C11" s="400">
        <v>2999.0</v>
      </c>
      <c r="D11" s="273" t="s">
        <v>1044</v>
      </c>
      <c r="E11" s="273" t="s">
        <v>1045</v>
      </c>
      <c r="F11" s="401" t="s">
        <v>1046</v>
      </c>
    </row>
    <row r="12">
      <c r="A12" s="50" t="s">
        <v>14</v>
      </c>
      <c r="B12" s="398" t="s">
        <v>117</v>
      </c>
      <c r="C12" s="400">
        <v>2999.0</v>
      </c>
      <c r="D12" s="273" t="s">
        <v>1044</v>
      </c>
      <c r="E12" s="273" t="s">
        <v>1045</v>
      </c>
      <c r="F12" s="401" t="s">
        <v>1046</v>
      </c>
    </row>
    <row r="13">
      <c r="A13" s="50" t="s">
        <v>7</v>
      </c>
      <c r="B13" s="398" t="s">
        <v>117</v>
      </c>
      <c r="C13" s="400">
        <v>1699.0</v>
      </c>
      <c r="D13" s="273" t="s">
        <v>1044</v>
      </c>
      <c r="E13" s="273" t="s">
        <v>1045</v>
      </c>
      <c r="F13" s="401" t="s">
        <v>1046</v>
      </c>
    </row>
    <row r="14">
      <c r="A14" s="50" t="s">
        <v>11</v>
      </c>
      <c r="B14" s="398" t="s">
        <v>117</v>
      </c>
      <c r="C14" s="400">
        <v>1699.0</v>
      </c>
      <c r="D14" s="273" t="s">
        <v>1044</v>
      </c>
      <c r="E14" s="273" t="s">
        <v>1045</v>
      </c>
      <c r="F14" s="401" t="s">
        <v>1046</v>
      </c>
    </row>
    <row r="15">
      <c r="A15" s="50" t="s">
        <v>392</v>
      </c>
      <c r="B15" s="398" t="s">
        <v>91</v>
      </c>
      <c r="C15" s="400">
        <v>3499.0</v>
      </c>
      <c r="D15" s="273" t="s">
        <v>1050</v>
      </c>
      <c r="E15" s="273" t="s">
        <v>1051</v>
      </c>
      <c r="F15" s="273" t="s">
        <v>1052</v>
      </c>
      <c r="G15" s="125" t="s">
        <v>1053</v>
      </c>
    </row>
    <row r="16">
      <c r="A16" s="50" t="s">
        <v>389</v>
      </c>
      <c r="B16" s="398" t="s">
        <v>91</v>
      </c>
      <c r="C16" s="400">
        <v>3499.0</v>
      </c>
      <c r="D16" s="273" t="s">
        <v>1050</v>
      </c>
      <c r="E16" s="273" t="s">
        <v>1051</v>
      </c>
      <c r="F16" s="273" t="s">
        <v>1052</v>
      </c>
      <c r="G16" s="125" t="s">
        <v>1053</v>
      </c>
    </row>
    <row r="17">
      <c r="A17" s="50" t="s">
        <v>189</v>
      </c>
      <c r="B17" s="398" t="s">
        <v>168</v>
      </c>
      <c r="C17" s="400">
        <v>2849.0</v>
      </c>
      <c r="D17" s="273" t="s">
        <v>1050</v>
      </c>
      <c r="E17" s="273" t="s">
        <v>1051</v>
      </c>
      <c r="F17" s="273" t="s">
        <v>1055</v>
      </c>
      <c r="G17" s="125" t="s">
        <v>1056</v>
      </c>
    </row>
    <row r="18">
      <c r="A18" s="50" t="s">
        <v>385</v>
      </c>
      <c r="B18" s="398" t="s">
        <v>91</v>
      </c>
      <c r="C18" s="400">
        <v>2250.0</v>
      </c>
      <c r="D18" s="273" t="s">
        <v>1050</v>
      </c>
      <c r="E18" s="273" t="s">
        <v>1051</v>
      </c>
      <c r="F18" s="273" t="s">
        <v>1052</v>
      </c>
      <c r="G18" s="125" t="s">
        <v>1053</v>
      </c>
    </row>
    <row r="19">
      <c r="A19" s="50" t="s">
        <v>377</v>
      </c>
      <c r="B19" s="398" t="s">
        <v>91</v>
      </c>
      <c r="C19" s="400">
        <v>1999.0</v>
      </c>
      <c r="D19" s="273" t="s">
        <v>1050</v>
      </c>
      <c r="E19" s="273" t="s">
        <v>1051</v>
      </c>
      <c r="F19" s="273" t="s">
        <v>1052</v>
      </c>
      <c r="G19" s="125" t="s">
        <v>1053</v>
      </c>
    </row>
    <row r="20">
      <c r="A20" s="50" t="s">
        <v>187</v>
      </c>
      <c r="B20" s="398" t="s">
        <v>168</v>
      </c>
      <c r="C20" s="400">
        <v>1499.0</v>
      </c>
      <c r="D20" s="273" t="s">
        <v>1050</v>
      </c>
      <c r="E20" s="273" t="s">
        <v>1051</v>
      </c>
      <c r="F20" s="273" t="s">
        <v>1055</v>
      </c>
      <c r="G20" s="125" t="s">
        <v>1056</v>
      </c>
    </row>
    <row r="21">
      <c r="A21" s="50" t="s">
        <v>372</v>
      </c>
      <c r="B21" s="398" t="s">
        <v>91</v>
      </c>
      <c r="C21" s="400">
        <v>1250.0</v>
      </c>
      <c r="D21" s="273" t="s">
        <v>1050</v>
      </c>
      <c r="E21" s="273" t="s">
        <v>1051</v>
      </c>
      <c r="F21" s="273" t="s">
        <v>1052</v>
      </c>
      <c r="G21" s="125" t="s">
        <v>1053</v>
      </c>
    </row>
    <row r="22">
      <c r="A22" s="50" t="s">
        <v>358</v>
      </c>
      <c r="B22" s="398" t="s">
        <v>91</v>
      </c>
      <c r="C22" s="400">
        <v>1000.0</v>
      </c>
      <c r="D22" s="273" t="s">
        <v>1050</v>
      </c>
      <c r="E22" s="273" t="s">
        <v>1051</v>
      </c>
      <c r="F22" s="273" t="s">
        <v>1052</v>
      </c>
      <c r="G22" s="125" t="s">
        <v>1053</v>
      </c>
    </row>
    <row r="23">
      <c r="A23" s="50" t="s">
        <v>364</v>
      </c>
      <c r="B23" s="398" t="s">
        <v>91</v>
      </c>
      <c r="C23" s="400">
        <v>1000.0</v>
      </c>
      <c r="D23" s="273" t="s">
        <v>1050</v>
      </c>
      <c r="E23" s="273" t="s">
        <v>1051</v>
      </c>
      <c r="F23" s="273" t="s">
        <v>1052</v>
      </c>
      <c r="G23" s="125" t="s">
        <v>1053</v>
      </c>
    </row>
    <row r="24">
      <c r="A24" s="50" t="s">
        <v>39</v>
      </c>
      <c r="B24" s="398" t="s">
        <v>37</v>
      </c>
      <c r="C24" s="400">
        <v>990.0</v>
      </c>
      <c r="D24" s="273" t="s">
        <v>1058</v>
      </c>
      <c r="E24" s="273" t="s">
        <v>1051</v>
      </c>
      <c r="F24" s="273" t="s">
        <v>1046</v>
      </c>
      <c r="G24" s="125" t="s">
        <v>1059</v>
      </c>
    </row>
    <row r="25">
      <c r="A25" s="50" t="s">
        <v>131</v>
      </c>
      <c r="B25" s="398" t="s">
        <v>78</v>
      </c>
      <c r="C25" s="400">
        <v>750.0</v>
      </c>
      <c r="D25" s="273" t="s">
        <v>1050</v>
      </c>
      <c r="E25" s="273" t="s">
        <v>1051</v>
      </c>
      <c r="F25" s="273" t="s">
        <v>1055</v>
      </c>
      <c r="G25" s="125" t="s">
        <v>1060</v>
      </c>
    </row>
    <row r="26">
      <c r="A26" s="50" t="s">
        <v>505</v>
      </c>
      <c r="B26" s="398" t="s">
        <v>186</v>
      </c>
      <c r="C26" s="400">
        <v>750.0</v>
      </c>
      <c r="D26" s="273" t="s">
        <v>1058</v>
      </c>
      <c r="E26" s="273" t="s">
        <v>1051</v>
      </c>
      <c r="F26" s="273" t="s">
        <v>1055</v>
      </c>
    </row>
    <row r="27">
      <c r="A27" s="50" t="s">
        <v>251</v>
      </c>
      <c r="B27" s="398" t="s">
        <v>186</v>
      </c>
      <c r="C27" s="400">
        <v>750.0</v>
      </c>
      <c r="D27" s="273" t="s">
        <v>1050</v>
      </c>
      <c r="E27" s="273" t="s">
        <v>1051</v>
      </c>
      <c r="F27" s="273" t="s">
        <v>1055</v>
      </c>
    </row>
    <row r="28">
      <c r="A28" s="50" t="s">
        <v>355</v>
      </c>
      <c r="B28" s="398" t="s">
        <v>91</v>
      </c>
      <c r="C28" s="400">
        <v>750.0</v>
      </c>
      <c r="D28" s="273" t="s">
        <v>1050</v>
      </c>
      <c r="E28" s="273" t="s">
        <v>1051</v>
      </c>
      <c r="F28" s="273" t="s">
        <v>1052</v>
      </c>
      <c r="G28" s="125" t="s">
        <v>1053</v>
      </c>
    </row>
    <row r="29">
      <c r="A29" s="50" t="s">
        <v>351</v>
      </c>
      <c r="B29" s="398" t="s">
        <v>91</v>
      </c>
      <c r="C29" s="400">
        <v>750.0</v>
      </c>
      <c r="D29" s="273" t="s">
        <v>1050</v>
      </c>
      <c r="E29" s="273" t="s">
        <v>1051</v>
      </c>
      <c r="F29" s="273" t="s">
        <v>1052</v>
      </c>
      <c r="G29" s="125" t="s">
        <v>1053</v>
      </c>
    </row>
    <row r="30">
      <c r="A30" s="50" t="s">
        <v>347</v>
      </c>
      <c r="B30" s="398" t="s">
        <v>91</v>
      </c>
      <c r="C30" s="400">
        <v>750.0</v>
      </c>
      <c r="D30" s="273" t="s">
        <v>1050</v>
      </c>
      <c r="E30" s="273" t="s">
        <v>1051</v>
      </c>
      <c r="F30" s="273" t="s">
        <v>1052</v>
      </c>
      <c r="G30" s="125" t="s">
        <v>1053</v>
      </c>
    </row>
    <row r="31">
      <c r="A31" s="50" t="s">
        <v>244</v>
      </c>
      <c r="B31" s="398" t="s">
        <v>186</v>
      </c>
      <c r="C31" s="400">
        <v>749.0</v>
      </c>
      <c r="D31" s="273" t="s">
        <v>1050</v>
      </c>
      <c r="E31" s="273" t="s">
        <v>1051</v>
      </c>
      <c r="F31" s="273" t="s">
        <v>1055</v>
      </c>
    </row>
    <row r="32">
      <c r="A32" s="50" t="s">
        <v>345</v>
      </c>
      <c r="B32" s="398" t="s">
        <v>91</v>
      </c>
      <c r="C32" s="400">
        <v>650.0</v>
      </c>
      <c r="D32" s="273" t="s">
        <v>1050</v>
      </c>
      <c r="E32" s="273" t="s">
        <v>1051</v>
      </c>
      <c r="F32" s="273" t="s">
        <v>1052</v>
      </c>
      <c r="G32" s="125" t="s">
        <v>1053</v>
      </c>
    </row>
    <row r="33">
      <c r="A33" s="50" t="s">
        <v>560</v>
      </c>
      <c r="B33" s="398" t="s">
        <v>91</v>
      </c>
      <c r="C33" s="400">
        <v>600.0</v>
      </c>
      <c r="D33" s="273" t="s">
        <v>1050</v>
      </c>
      <c r="E33" s="273" t="s">
        <v>1051</v>
      </c>
      <c r="F33" s="273" t="s">
        <v>1052</v>
      </c>
      <c r="G33" s="125" t="s">
        <v>1053</v>
      </c>
    </row>
    <row r="34">
      <c r="A34" s="50" t="s">
        <v>73</v>
      </c>
      <c r="B34" s="398" t="s">
        <v>43</v>
      </c>
      <c r="C34" s="400">
        <v>599.0</v>
      </c>
      <c r="D34" s="273" t="s">
        <v>1058</v>
      </c>
      <c r="E34" s="273" t="s">
        <v>1051</v>
      </c>
      <c r="F34" s="273" t="s">
        <v>1055</v>
      </c>
    </row>
    <row r="35">
      <c r="A35" s="50" t="s">
        <v>74</v>
      </c>
      <c r="B35" s="398" t="s">
        <v>43</v>
      </c>
      <c r="C35" s="400">
        <v>599.0</v>
      </c>
      <c r="D35" s="273" t="s">
        <v>1058</v>
      </c>
      <c r="E35" s="273" t="s">
        <v>1044</v>
      </c>
      <c r="F35" s="273" t="s">
        <v>1044</v>
      </c>
    </row>
    <row r="36">
      <c r="A36" s="50" t="s">
        <v>76</v>
      </c>
      <c r="B36" s="398" t="s">
        <v>43</v>
      </c>
      <c r="C36" s="400">
        <v>599.0</v>
      </c>
      <c r="D36" s="273" t="s">
        <v>1058</v>
      </c>
      <c r="E36" s="273" t="s">
        <v>1044</v>
      </c>
      <c r="F36" s="273" t="s">
        <v>1044</v>
      </c>
    </row>
    <row r="37">
      <c r="A37" s="50" t="s">
        <v>116</v>
      </c>
      <c r="B37" s="398" t="s">
        <v>78</v>
      </c>
      <c r="C37" s="400">
        <v>500.0</v>
      </c>
      <c r="D37" s="273" t="s">
        <v>1058</v>
      </c>
      <c r="E37" s="273" t="s">
        <v>1051</v>
      </c>
      <c r="F37" s="273" t="s">
        <v>1055</v>
      </c>
    </row>
    <row r="38">
      <c r="A38" s="50" t="s">
        <v>118</v>
      </c>
      <c r="B38" s="398" t="s">
        <v>78</v>
      </c>
      <c r="C38" s="400">
        <v>500.0</v>
      </c>
      <c r="D38" s="273" t="s">
        <v>1058</v>
      </c>
      <c r="E38" s="273" t="s">
        <v>1051</v>
      </c>
      <c r="F38" s="273" t="s">
        <v>1055</v>
      </c>
    </row>
    <row r="39">
      <c r="A39" s="50" t="s">
        <v>68</v>
      </c>
      <c r="B39" s="398" t="s">
        <v>43</v>
      </c>
      <c r="C39" s="400">
        <v>500.0</v>
      </c>
      <c r="D39" s="273" t="s">
        <v>1058</v>
      </c>
      <c r="E39" s="273" t="s">
        <v>1044</v>
      </c>
      <c r="F39" s="273" t="s">
        <v>1044</v>
      </c>
    </row>
    <row r="40">
      <c r="A40" s="50" t="s">
        <v>66</v>
      </c>
      <c r="B40" s="398" t="s">
        <v>43</v>
      </c>
      <c r="C40" s="400">
        <v>500.0</v>
      </c>
      <c r="D40" s="273" t="s">
        <v>1058</v>
      </c>
      <c r="E40" s="273" t="s">
        <v>1044</v>
      </c>
      <c r="F40" s="273" t="s">
        <v>1044</v>
      </c>
    </row>
    <row r="41">
      <c r="A41" s="50" t="s">
        <v>289</v>
      </c>
      <c r="B41" s="398" t="s">
        <v>91</v>
      </c>
      <c r="C41" s="400">
        <v>500.0</v>
      </c>
      <c r="D41" s="273" t="s">
        <v>1050</v>
      </c>
      <c r="E41" s="273" t="s">
        <v>1051</v>
      </c>
      <c r="F41" s="273" t="s">
        <v>1052</v>
      </c>
      <c r="G41" s="125" t="s">
        <v>1053</v>
      </c>
    </row>
    <row r="42">
      <c r="A42" s="50" t="s">
        <v>286</v>
      </c>
      <c r="B42" s="398" t="s">
        <v>91</v>
      </c>
      <c r="C42" s="400">
        <v>500.0</v>
      </c>
      <c r="D42" s="273" t="s">
        <v>1050</v>
      </c>
      <c r="E42" s="273" t="s">
        <v>1051</v>
      </c>
      <c r="F42" s="273" t="s">
        <v>1052</v>
      </c>
      <c r="G42" s="125" t="s">
        <v>1053</v>
      </c>
    </row>
    <row r="43">
      <c r="A43" s="50" t="s">
        <v>262</v>
      </c>
      <c r="B43" s="398" t="s">
        <v>91</v>
      </c>
      <c r="C43" s="400">
        <v>500.0</v>
      </c>
      <c r="D43" s="273" t="s">
        <v>1050</v>
      </c>
      <c r="E43" s="273" t="s">
        <v>1051</v>
      </c>
      <c r="F43" s="273" t="s">
        <v>1052</v>
      </c>
      <c r="G43" s="125" t="s">
        <v>1053</v>
      </c>
    </row>
    <row r="44">
      <c r="A44" s="50" t="s">
        <v>314</v>
      </c>
      <c r="B44" s="398" t="s">
        <v>91</v>
      </c>
      <c r="C44" s="400">
        <v>500.0</v>
      </c>
      <c r="D44" s="273" t="s">
        <v>1050</v>
      </c>
      <c r="E44" s="273" t="s">
        <v>1051</v>
      </c>
      <c r="F44" s="273" t="s">
        <v>1052</v>
      </c>
      <c r="G44" s="125" t="s">
        <v>1053</v>
      </c>
    </row>
    <row r="45">
      <c r="A45" s="50" t="s">
        <v>300</v>
      </c>
      <c r="B45" s="398" t="s">
        <v>91</v>
      </c>
      <c r="C45" s="400">
        <v>500.0</v>
      </c>
      <c r="D45" s="273" t="s">
        <v>1050</v>
      </c>
      <c r="E45" s="273" t="s">
        <v>1051</v>
      </c>
      <c r="F45" s="273" t="s">
        <v>1052</v>
      </c>
      <c r="G45" s="125" t="s">
        <v>1053</v>
      </c>
    </row>
    <row r="46">
      <c r="A46" s="50" t="s">
        <v>330</v>
      </c>
      <c r="B46" s="398" t="s">
        <v>91</v>
      </c>
      <c r="C46" s="400">
        <v>500.0</v>
      </c>
      <c r="D46" s="273" t="s">
        <v>1050</v>
      </c>
      <c r="E46" s="273" t="s">
        <v>1051</v>
      </c>
      <c r="F46" s="273" t="s">
        <v>1052</v>
      </c>
      <c r="G46" s="125" t="s">
        <v>1053</v>
      </c>
    </row>
    <row r="47">
      <c r="A47" s="50" t="s">
        <v>296</v>
      </c>
      <c r="B47" s="398" t="s">
        <v>91</v>
      </c>
      <c r="C47" s="400">
        <v>500.0</v>
      </c>
      <c r="D47" s="273" t="s">
        <v>1050</v>
      </c>
      <c r="E47" s="273" t="s">
        <v>1051</v>
      </c>
      <c r="F47" s="273" t="s">
        <v>1052</v>
      </c>
      <c r="G47" s="125" t="s">
        <v>1053</v>
      </c>
    </row>
    <row r="48">
      <c r="A48" s="50" t="s">
        <v>293</v>
      </c>
      <c r="B48" s="398" t="s">
        <v>91</v>
      </c>
      <c r="C48" s="400">
        <v>500.0</v>
      </c>
      <c r="D48" s="273" t="s">
        <v>1050</v>
      </c>
      <c r="E48" s="273" t="s">
        <v>1051</v>
      </c>
      <c r="F48" s="273" t="s">
        <v>1052</v>
      </c>
      <c r="G48" s="125" t="s">
        <v>1053</v>
      </c>
    </row>
    <row r="49">
      <c r="A49" s="50" t="s">
        <v>334</v>
      </c>
      <c r="B49" s="398" t="s">
        <v>91</v>
      </c>
      <c r="C49" s="400">
        <v>500.0</v>
      </c>
      <c r="D49" s="273" t="s">
        <v>1050</v>
      </c>
      <c r="E49" s="273" t="s">
        <v>1051</v>
      </c>
      <c r="F49" s="273" t="s">
        <v>1052</v>
      </c>
      <c r="G49" s="125" t="s">
        <v>1053</v>
      </c>
    </row>
    <row r="50">
      <c r="A50" s="50" t="s">
        <v>321</v>
      </c>
      <c r="B50" s="398" t="s">
        <v>91</v>
      </c>
      <c r="C50" s="400">
        <v>500.0</v>
      </c>
      <c r="D50" s="273" t="s">
        <v>1050</v>
      </c>
      <c r="E50" s="273" t="s">
        <v>1051</v>
      </c>
      <c r="F50" s="273" t="s">
        <v>1052</v>
      </c>
      <c r="G50" s="125" t="s">
        <v>1053</v>
      </c>
    </row>
    <row r="51">
      <c r="A51" s="50" t="s">
        <v>318</v>
      </c>
      <c r="B51" s="398" t="s">
        <v>91</v>
      </c>
      <c r="C51" s="400">
        <v>500.0</v>
      </c>
      <c r="D51" s="273" t="s">
        <v>1050</v>
      </c>
      <c r="E51" s="273" t="s">
        <v>1051</v>
      </c>
      <c r="F51" s="273" t="s">
        <v>1052</v>
      </c>
      <c r="G51" s="125" t="s">
        <v>1053</v>
      </c>
    </row>
    <row r="52">
      <c r="A52" s="50" t="s">
        <v>304</v>
      </c>
      <c r="B52" s="398" t="s">
        <v>91</v>
      </c>
      <c r="C52" s="400">
        <v>500.0</v>
      </c>
      <c r="D52" s="273" t="s">
        <v>1050</v>
      </c>
      <c r="E52" s="273" t="s">
        <v>1051</v>
      </c>
      <c r="F52" s="273" t="s">
        <v>1052</v>
      </c>
      <c r="G52" s="125" t="s">
        <v>1053</v>
      </c>
    </row>
    <row r="53">
      <c r="A53" s="50" t="s">
        <v>310</v>
      </c>
      <c r="B53" s="398" t="s">
        <v>91</v>
      </c>
      <c r="C53" s="400">
        <v>500.0</v>
      </c>
      <c r="D53" s="273" t="s">
        <v>1050</v>
      </c>
      <c r="E53" s="273" t="s">
        <v>1051</v>
      </c>
      <c r="F53" s="273" t="s">
        <v>1052</v>
      </c>
      <c r="G53" s="125" t="s">
        <v>1053</v>
      </c>
    </row>
    <row r="54">
      <c r="A54" s="50" t="s">
        <v>326</v>
      </c>
      <c r="B54" s="398" t="s">
        <v>91</v>
      </c>
      <c r="C54" s="400">
        <v>500.0</v>
      </c>
      <c r="D54" s="273" t="s">
        <v>1050</v>
      </c>
      <c r="E54" s="273" t="s">
        <v>1051</v>
      </c>
      <c r="F54" s="273" t="s">
        <v>1052</v>
      </c>
      <c r="G54" s="125" t="s">
        <v>1053</v>
      </c>
    </row>
    <row r="55">
      <c r="A55" s="418" t="s">
        <v>1065</v>
      </c>
      <c r="B55" s="398" t="s">
        <v>83</v>
      </c>
      <c r="C55" s="400">
        <v>500.0</v>
      </c>
      <c r="D55" s="273" t="s">
        <v>1050</v>
      </c>
      <c r="E55" s="273" t="s">
        <v>1051</v>
      </c>
      <c r="F55" s="273" t="s">
        <v>1055</v>
      </c>
      <c r="G55" s="125" t="s">
        <v>1066</v>
      </c>
    </row>
    <row r="56">
      <c r="A56" s="50" t="s">
        <v>160</v>
      </c>
      <c r="B56" s="398" t="s">
        <v>83</v>
      </c>
      <c r="C56" s="400">
        <v>500.0</v>
      </c>
      <c r="D56" s="273" t="s">
        <v>1050</v>
      </c>
      <c r="E56" s="273" t="s">
        <v>1051</v>
      </c>
      <c r="F56" s="273" t="s">
        <v>1055</v>
      </c>
      <c r="G56" s="125" t="s">
        <v>1067</v>
      </c>
    </row>
    <row r="57">
      <c r="A57" s="50" t="s">
        <v>164</v>
      </c>
      <c r="B57" s="398" t="s">
        <v>83</v>
      </c>
      <c r="C57" s="400">
        <v>500.0</v>
      </c>
      <c r="D57" s="273" t="s">
        <v>1050</v>
      </c>
      <c r="E57" s="273" t="s">
        <v>1051</v>
      </c>
      <c r="F57" s="273" t="s">
        <v>1055</v>
      </c>
    </row>
    <row r="58">
      <c r="A58" s="50" t="s">
        <v>72</v>
      </c>
      <c r="B58" s="398" t="s">
        <v>43</v>
      </c>
      <c r="C58" s="400">
        <v>499.0</v>
      </c>
      <c r="D58" s="273" t="s">
        <v>1058</v>
      </c>
      <c r="E58" s="273" t="s">
        <v>1044</v>
      </c>
      <c r="F58" s="273" t="s">
        <v>1044</v>
      </c>
    </row>
    <row r="59">
      <c r="A59" s="50" t="s">
        <v>161</v>
      </c>
      <c r="B59" s="398" t="s">
        <v>186</v>
      </c>
      <c r="C59" s="400">
        <v>499.0</v>
      </c>
      <c r="D59" s="273" t="s">
        <v>1058</v>
      </c>
      <c r="E59" s="273" t="s">
        <v>1051</v>
      </c>
      <c r="F59" s="273" t="s">
        <v>1055</v>
      </c>
    </row>
    <row r="60">
      <c r="A60" s="50" t="s">
        <v>495</v>
      </c>
      <c r="B60" s="398" t="s">
        <v>186</v>
      </c>
      <c r="C60" s="400">
        <v>499.0</v>
      </c>
      <c r="D60" s="273" t="s">
        <v>1058</v>
      </c>
      <c r="E60" s="273" t="s">
        <v>1051</v>
      </c>
      <c r="F60" s="273" t="s">
        <v>1055</v>
      </c>
    </row>
    <row r="61">
      <c r="A61" s="50" t="s">
        <v>70</v>
      </c>
      <c r="B61" s="398" t="s">
        <v>43</v>
      </c>
      <c r="C61" s="400">
        <v>499.0</v>
      </c>
      <c r="D61" s="273" t="s">
        <v>1058</v>
      </c>
      <c r="E61" s="273" t="s">
        <v>1044</v>
      </c>
      <c r="F61" s="273" t="s">
        <v>1044</v>
      </c>
    </row>
    <row r="62">
      <c r="A62" s="50" t="s">
        <v>184</v>
      </c>
      <c r="B62" s="398" t="s">
        <v>168</v>
      </c>
      <c r="C62" s="400">
        <v>400.0</v>
      </c>
      <c r="D62" s="273" t="s">
        <v>1050</v>
      </c>
      <c r="E62" s="273" t="s">
        <v>1051</v>
      </c>
      <c r="F62" s="273" t="s">
        <v>1055</v>
      </c>
      <c r="G62" s="125" t="s">
        <v>1056</v>
      </c>
    </row>
    <row r="63">
      <c r="A63" s="50" t="s">
        <v>281</v>
      </c>
      <c r="B63" s="398" t="s">
        <v>91</v>
      </c>
      <c r="C63" s="400">
        <v>400.0</v>
      </c>
      <c r="D63" s="273" t="s">
        <v>1050</v>
      </c>
      <c r="E63" s="273" t="s">
        <v>1051</v>
      </c>
      <c r="F63" s="273" t="s">
        <v>1052</v>
      </c>
      <c r="G63" s="125" t="s">
        <v>1053</v>
      </c>
    </row>
    <row r="64">
      <c r="A64" s="50" t="s">
        <v>1068</v>
      </c>
      <c r="B64" s="398" t="s">
        <v>78</v>
      </c>
      <c r="C64" s="400">
        <v>399.0</v>
      </c>
      <c r="D64" s="273" t="s">
        <v>1050</v>
      </c>
      <c r="E64" s="273" t="s">
        <v>1051</v>
      </c>
      <c r="F64" s="273" t="s">
        <v>1055</v>
      </c>
    </row>
    <row r="65">
      <c r="A65" s="50" t="s">
        <v>490</v>
      </c>
      <c r="B65" s="398" t="s">
        <v>186</v>
      </c>
      <c r="C65" s="400">
        <v>399.0</v>
      </c>
      <c r="D65" s="273" t="s">
        <v>1058</v>
      </c>
      <c r="E65" s="273" t="s">
        <v>1051</v>
      </c>
      <c r="F65" s="273" t="s">
        <v>1055</v>
      </c>
    </row>
    <row r="66">
      <c r="A66" s="50" t="s">
        <v>469</v>
      </c>
      <c r="B66" s="398" t="s">
        <v>186</v>
      </c>
      <c r="C66" s="400">
        <v>299.0</v>
      </c>
      <c r="D66" s="273" t="s">
        <v>1058</v>
      </c>
      <c r="E66" s="273" t="s">
        <v>1051</v>
      </c>
      <c r="F66" s="273" t="s">
        <v>1055</v>
      </c>
    </row>
    <row r="67">
      <c r="A67" s="50" t="s">
        <v>101</v>
      </c>
      <c r="B67" s="398" t="s">
        <v>78</v>
      </c>
      <c r="C67" s="400">
        <v>250.0</v>
      </c>
      <c r="D67" s="273" t="s">
        <v>1058</v>
      </c>
      <c r="E67" s="273" t="s">
        <v>1044</v>
      </c>
      <c r="F67" s="273" t="s">
        <v>1044</v>
      </c>
    </row>
    <row r="68">
      <c r="A68" s="50" t="s">
        <v>106</v>
      </c>
      <c r="B68" s="398" t="s">
        <v>78</v>
      </c>
      <c r="C68" s="400">
        <v>250.0</v>
      </c>
      <c r="D68" s="273" t="s">
        <v>1058</v>
      </c>
      <c r="E68" s="273" t="s">
        <v>1051</v>
      </c>
      <c r="F68" s="273" t="s">
        <v>1055</v>
      </c>
    </row>
    <row r="69">
      <c r="A69" s="50" t="s">
        <v>104</v>
      </c>
      <c r="B69" s="398" t="s">
        <v>78</v>
      </c>
      <c r="C69" s="400">
        <v>250.0</v>
      </c>
      <c r="D69" s="273" t="s">
        <v>1058</v>
      </c>
      <c r="E69" s="273" t="s">
        <v>1051</v>
      </c>
      <c r="F69" s="273" t="s">
        <v>1055</v>
      </c>
    </row>
    <row r="70">
      <c r="A70" s="50" t="s">
        <v>110</v>
      </c>
      <c r="B70" s="398" t="s">
        <v>78</v>
      </c>
      <c r="C70" s="400">
        <v>250.0</v>
      </c>
      <c r="D70" s="273" t="s">
        <v>1058</v>
      </c>
      <c r="E70" s="273" t="s">
        <v>1051</v>
      </c>
      <c r="F70" s="273" t="s">
        <v>1055</v>
      </c>
    </row>
    <row r="71">
      <c r="A71" s="50" t="s">
        <v>100</v>
      </c>
      <c r="B71" s="398" t="s">
        <v>78</v>
      </c>
      <c r="C71" s="400">
        <v>250.0</v>
      </c>
      <c r="D71" s="273" t="s">
        <v>1058</v>
      </c>
      <c r="E71" s="273" t="s">
        <v>1051</v>
      </c>
      <c r="F71" s="273" t="s">
        <v>1055</v>
      </c>
    </row>
    <row r="72">
      <c r="A72" s="50" t="s">
        <v>109</v>
      </c>
      <c r="B72" s="398" t="s">
        <v>78</v>
      </c>
      <c r="C72" s="400">
        <v>250.0</v>
      </c>
      <c r="D72" s="273" t="s">
        <v>1058</v>
      </c>
      <c r="E72" s="273" t="s">
        <v>1051</v>
      </c>
      <c r="F72" s="273" t="s">
        <v>1055</v>
      </c>
    </row>
    <row r="73">
      <c r="A73" s="50" t="s">
        <v>466</v>
      </c>
      <c r="B73" s="398" t="s">
        <v>186</v>
      </c>
      <c r="C73" s="400">
        <v>250.0</v>
      </c>
      <c r="D73" s="273" t="s">
        <v>1058</v>
      </c>
      <c r="E73" s="273" t="s">
        <v>1051</v>
      </c>
      <c r="F73" s="273" t="s">
        <v>1055</v>
      </c>
    </row>
    <row r="74">
      <c r="A74" s="50" t="s">
        <v>1070</v>
      </c>
      <c r="B74" s="398" t="s">
        <v>91</v>
      </c>
      <c r="C74" s="400">
        <v>250.0</v>
      </c>
      <c r="D74" s="273" t="s">
        <v>1050</v>
      </c>
      <c r="E74" s="273" t="s">
        <v>1051</v>
      </c>
      <c r="F74" s="273" t="s">
        <v>1052</v>
      </c>
      <c r="G74" s="125" t="s">
        <v>1053</v>
      </c>
    </row>
    <row r="75">
      <c r="A75" s="50" t="s">
        <v>236</v>
      </c>
      <c r="B75" s="398" t="s">
        <v>91</v>
      </c>
      <c r="C75" s="400">
        <v>250.0</v>
      </c>
      <c r="D75" s="273" t="s">
        <v>1050</v>
      </c>
      <c r="E75" s="273" t="s">
        <v>1051</v>
      </c>
      <c r="F75" s="273" t="s">
        <v>1052</v>
      </c>
      <c r="G75" s="125" t="s">
        <v>1053</v>
      </c>
    </row>
    <row r="76">
      <c r="A76" s="50" t="s">
        <v>232</v>
      </c>
      <c r="B76" s="398" t="s">
        <v>91</v>
      </c>
      <c r="C76" s="400">
        <v>250.0</v>
      </c>
      <c r="D76" s="273" t="s">
        <v>1044</v>
      </c>
      <c r="E76" s="273" t="s">
        <v>1044</v>
      </c>
      <c r="F76" s="273" t="s">
        <v>1044</v>
      </c>
    </row>
    <row r="77">
      <c r="A77" s="50" t="s">
        <v>218</v>
      </c>
      <c r="B77" s="398" t="s">
        <v>91</v>
      </c>
      <c r="C77" s="400">
        <v>250.0</v>
      </c>
      <c r="D77" s="273" t="s">
        <v>1050</v>
      </c>
      <c r="E77" s="273" t="s">
        <v>1051</v>
      </c>
      <c r="F77" s="273" t="s">
        <v>1052</v>
      </c>
      <c r="G77" s="125" t="s">
        <v>1053</v>
      </c>
    </row>
    <row r="78">
      <c r="A78" s="50" t="s">
        <v>224</v>
      </c>
      <c r="B78" s="398" t="s">
        <v>91</v>
      </c>
      <c r="C78" s="400">
        <v>250.0</v>
      </c>
      <c r="D78" s="273" t="s">
        <v>1058</v>
      </c>
      <c r="E78" s="273" t="s">
        <v>1051</v>
      </c>
      <c r="F78" s="273" t="s">
        <v>1052</v>
      </c>
    </row>
    <row r="79">
      <c r="A79" s="50" t="s">
        <v>593</v>
      </c>
      <c r="B79" s="398" t="s">
        <v>91</v>
      </c>
      <c r="C79" s="400">
        <v>250.0</v>
      </c>
      <c r="D79" s="273" t="s">
        <v>1058</v>
      </c>
      <c r="E79" s="273" t="s">
        <v>1051</v>
      </c>
      <c r="F79" s="273" t="s">
        <v>1052</v>
      </c>
    </row>
    <row r="80">
      <c r="A80" s="50" t="s">
        <v>254</v>
      </c>
      <c r="B80" s="398" t="s">
        <v>91</v>
      </c>
      <c r="C80" s="400">
        <v>250.0</v>
      </c>
      <c r="D80" s="273" t="s">
        <v>1050</v>
      </c>
      <c r="E80" s="273" t="s">
        <v>1051</v>
      </c>
      <c r="F80" s="273" t="s">
        <v>1052</v>
      </c>
      <c r="G80" s="125" t="s">
        <v>1053</v>
      </c>
    </row>
    <row r="81">
      <c r="A81" s="50" t="s">
        <v>272</v>
      </c>
      <c r="B81" s="398" t="s">
        <v>91</v>
      </c>
      <c r="C81" s="400">
        <v>250.0</v>
      </c>
      <c r="D81" s="273" t="s">
        <v>1050</v>
      </c>
      <c r="E81" s="273" t="s">
        <v>1051</v>
      </c>
      <c r="F81" s="273" t="s">
        <v>1052</v>
      </c>
      <c r="G81" s="125" t="s">
        <v>1053</v>
      </c>
    </row>
    <row r="82">
      <c r="A82" s="50" t="s">
        <v>246</v>
      </c>
      <c r="B82" s="398" t="s">
        <v>91</v>
      </c>
      <c r="C82" s="400">
        <v>250.0</v>
      </c>
      <c r="D82" s="273" t="s">
        <v>1050</v>
      </c>
      <c r="E82" s="273" t="s">
        <v>1051</v>
      </c>
      <c r="F82" s="273" t="s">
        <v>1052</v>
      </c>
      <c r="G82" s="125" t="s">
        <v>1053</v>
      </c>
    </row>
    <row r="83">
      <c r="A83" s="50" t="s">
        <v>242</v>
      </c>
      <c r="B83" s="398" t="s">
        <v>91</v>
      </c>
      <c r="C83" s="400">
        <v>250.0</v>
      </c>
      <c r="D83" s="273" t="s">
        <v>1050</v>
      </c>
      <c r="E83" s="273" t="s">
        <v>1051</v>
      </c>
      <c r="F83" s="273" t="s">
        <v>1052</v>
      </c>
      <c r="G83" s="125" t="s">
        <v>1053</v>
      </c>
    </row>
    <row r="84">
      <c r="A84" s="50" t="s">
        <v>250</v>
      </c>
      <c r="B84" s="398" t="s">
        <v>91</v>
      </c>
      <c r="C84" s="400">
        <v>250.0</v>
      </c>
      <c r="D84" s="273" t="s">
        <v>1050</v>
      </c>
      <c r="E84" s="273" t="s">
        <v>1051</v>
      </c>
      <c r="F84" s="273" t="s">
        <v>1052</v>
      </c>
      <c r="G84" s="125" t="s">
        <v>1053</v>
      </c>
    </row>
    <row r="85">
      <c r="A85" s="50" t="s">
        <v>158</v>
      </c>
      <c r="B85" s="398" t="s">
        <v>83</v>
      </c>
      <c r="C85" s="400">
        <v>250.0</v>
      </c>
      <c r="D85" s="273" t="s">
        <v>1050</v>
      </c>
      <c r="E85" s="273" t="s">
        <v>1051</v>
      </c>
      <c r="F85" s="273" t="s">
        <v>1055</v>
      </c>
      <c r="G85" s="125" t="s">
        <v>1071</v>
      </c>
    </row>
    <row r="86">
      <c r="A86" s="50" t="s">
        <v>180</v>
      </c>
      <c r="B86" s="398" t="s">
        <v>168</v>
      </c>
      <c r="C86" s="400">
        <v>200.0</v>
      </c>
      <c r="D86" s="273" t="s">
        <v>1050</v>
      </c>
      <c r="E86" s="273" t="s">
        <v>1051</v>
      </c>
      <c r="F86" s="273" t="s">
        <v>1055</v>
      </c>
      <c r="G86" s="125" t="s">
        <v>1056</v>
      </c>
    </row>
    <row r="87">
      <c r="A87" s="50" t="s">
        <v>82</v>
      </c>
      <c r="B87" s="421" t="s">
        <v>78</v>
      </c>
      <c r="C87" s="400">
        <v>175.0</v>
      </c>
      <c r="D87" s="273" t="s">
        <v>1058</v>
      </c>
      <c r="E87" s="273" t="s">
        <v>1051</v>
      </c>
      <c r="F87" s="273" t="s">
        <v>1055</v>
      </c>
    </row>
    <row r="88">
      <c r="A88" s="50" t="s">
        <v>60</v>
      </c>
      <c r="B88" s="398" t="s">
        <v>43</v>
      </c>
      <c r="C88" s="400">
        <v>150.0</v>
      </c>
      <c r="D88" s="273" t="s">
        <v>1058</v>
      </c>
      <c r="E88" s="273" t="s">
        <v>1044</v>
      </c>
      <c r="F88" s="273" t="s">
        <v>1044</v>
      </c>
    </row>
    <row r="89">
      <c r="A89" s="50" t="s">
        <v>63</v>
      </c>
      <c r="B89" s="398" t="s">
        <v>43</v>
      </c>
      <c r="C89" s="400">
        <v>150.0</v>
      </c>
      <c r="D89" s="273" t="s">
        <v>1058</v>
      </c>
      <c r="E89" s="273" t="s">
        <v>1044</v>
      </c>
      <c r="F89" s="273" t="s">
        <v>1044</v>
      </c>
    </row>
    <row r="90">
      <c r="A90" s="50" t="s">
        <v>65</v>
      </c>
      <c r="B90" s="398" t="s">
        <v>43</v>
      </c>
      <c r="C90" s="400">
        <v>150.0</v>
      </c>
      <c r="D90" s="273" t="s">
        <v>1058</v>
      </c>
      <c r="E90" s="273" t="s">
        <v>1044</v>
      </c>
      <c r="F90" s="273" t="s">
        <v>1044</v>
      </c>
    </row>
    <row r="91">
      <c r="A91" s="50" t="s">
        <v>1072</v>
      </c>
      <c r="B91" s="398" t="s">
        <v>43</v>
      </c>
      <c r="C91" s="400">
        <v>150.0</v>
      </c>
      <c r="D91" s="273" t="s">
        <v>1058</v>
      </c>
      <c r="E91" s="273" t="s">
        <v>1044</v>
      </c>
      <c r="F91" s="273" t="s">
        <v>1044</v>
      </c>
    </row>
    <row r="92">
      <c r="A92" s="50" t="s">
        <v>194</v>
      </c>
      <c r="B92" s="398" t="s">
        <v>91</v>
      </c>
      <c r="C92" s="400">
        <v>100.0</v>
      </c>
      <c r="D92" s="273" t="s">
        <v>1044</v>
      </c>
      <c r="E92" s="273" t="s">
        <v>1044</v>
      </c>
      <c r="F92" s="273" t="s">
        <v>1044</v>
      </c>
    </row>
    <row r="93">
      <c r="A93" s="50" t="s">
        <v>1073</v>
      </c>
      <c r="B93" s="398" t="s">
        <v>43</v>
      </c>
      <c r="C93" s="400">
        <v>99.0</v>
      </c>
      <c r="D93" s="273" t="s">
        <v>1058</v>
      </c>
      <c r="E93" s="273" t="s">
        <v>1051</v>
      </c>
      <c r="F93" s="273" t="s">
        <v>1055</v>
      </c>
    </row>
    <row r="94">
      <c r="A94" s="50" t="s">
        <v>453</v>
      </c>
      <c r="B94" s="398" t="s">
        <v>186</v>
      </c>
      <c r="C94" s="400">
        <v>99.0</v>
      </c>
      <c r="D94" s="273" t="s">
        <v>1058</v>
      </c>
      <c r="E94" s="273" t="s">
        <v>1051</v>
      </c>
      <c r="F94" s="273" t="s">
        <v>1055</v>
      </c>
    </row>
    <row r="95">
      <c r="A95" s="50" t="s">
        <v>450</v>
      </c>
      <c r="B95" s="398" t="s">
        <v>186</v>
      </c>
      <c r="C95" s="400">
        <v>99.0</v>
      </c>
      <c r="D95" s="273" t="s">
        <v>1050</v>
      </c>
      <c r="E95" s="273" t="s">
        <v>1051</v>
      </c>
      <c r="F95" s="273" t="s">
        <v>1055</v>
      </c>
    </row>
    <row r="96">
      <c r="A96" s="50" t="s">
        <v>205</v>
      </c>
      <c r="B96" s="398" t="s">
        <v>91</v>
      </c>
      <c r="C96" s="400">
        <v>99.0</v>
      </c>
      <c r="D96" s="273" t="s">
        <v>1058</v>
      </c>
      <c r="E96" s="273" t="s">
        <v>1051</v>
      </c>
      <c r="F96" s="273" t="s">
        <v>1052</v>
      </c>
      <c r="G96" s="125" t="s">
        <v>1053</v>
      </c>
    </row>
    <row r="97">
      <c r="A97" s="50" t="s">
        <v>595</v>
      </c>
      <c r="B97" s="398" t="s">
        <v>91</v>
      </c>
      <c r="C97" s="400">
        <v>99.0</v>
      </c>
      <c r="D97" s="273" t="s">
        <v>1058</v>
      </c>
      <c r="E97" s="273" t="s">
        <v>1051</v>
      </c>
      <c r="F97" s="273" t="s">
        <v>1052</v>
      </c>
      <c r="G97" s="125" t="s">
        <v>1053</v>
      </c>
    </row>
    <row r="98">
      <c r="A98" s="50" t="s">
        <v>201</v>
      </c>
      <c r="B98" s="398" t="s">
        <v>91</v>
      </c>
      <c r="C98" s="400">
        <v>99.0</v>
      </c>
      <c r="D98" s="273" t="s">
        <v>1058</v>
      </c>
      <c r="E98" s="273" t="s">
        <v>1051</v>
      </c>
      <c r="F98" s="273" t="s">
        <v>1052</v>
      </c>
      <c r="G98" s="125" t="s">
        <v>1053</v>
      </c>
    </row>
    <row r="99">
      <c r="A99" s="50" t="s">
        <v>151</v>
      </c>
      <c r="B99" s="398" t="s">
        <v>83</v>
      </c>
      <c r="C99" s="400">
        <v>99.0</v>
      </c>
      <c r="D99" s="273" t="s">
        <v>1050</v>
      </c>
      <c r="E99" s="273" t="s">
        <v>1051</v>
      </c>
      <c r="F99" s="273" t="s">
        <v>1055</v>
      </c>
      <c r="G99" s="125" t="s">
        <v>1075</v>
      </c>
    </row>
    <row r="100">
      <c r="A100" s="50" t="s">
        <v>1076</v>
      </c>
      <c r="B100" s="398" t="s">
        <v>91</v>
      </c>
      <c r="C100" s="400">
        <v>95.0</v>
      </c>
      <c r="D100" s="273" t="s">
        <v>1050</v>
      </c>
      <c r="E100" s="273" t="s">
        <v>1051</v>
      </c>
      <c r="F100" s="273" t="s">
        <v>1052</v>
      </c>
      <c r="G100" s="125" t="s">
        <v>1053</v>
      </c>
    </row>
    <row r="101">
      <c r="A101" s="50" t="s">
        <v>408</v>
      </c>
      <c r="B101" s="398" t="s">
        <v>396</v>
      </c>
      <c r="C101" s="400">
        <v>80.0</v>
      </c>
      <c r="D101" s="273" t="s">
        <v>1050</v>
      </c>
      <c r="E101" s="273" t="s">
        <v>1051</v>
      </c>
      <c r="F101" s="273" t="s">
        <v>1055</v>
      </c>
      <c r="G101" s="125" t="s">
        <v>1078</v>
      </c>
    </row>
    <row r="102">
      <c r="A102" s="50" t="s">
        <v>176</v>
      </c>
      <c r="B102" s="398" t="s">
        <v>168</v>
      </c>
      <c r="C102" s="400">
        <v>75.0</v>
      </c>
      <c r="D102" s="273" t="s">
        <v>1058</v>
      </c>
      <c r="E102" s="273" t="s">
        <v>1051</v>
      </c>
      <c r="F102" s="273" t="s">
        <v>1055</v>
      </c>
    </row>
    <row r="103">
      <c r="A103" s="50" t="s">
        <v>1079</v>
      </c>
      <c r="B103" s="398" t="s">
        <v>78</v>
      </c>
      <c r="C103" s="400">
        <v>75.0</v>
      </c>
      <c r="D103" s="273" t="s">
        <v>1058</v>
      </c>
      <c r="E103" s="273" t="s">
        <v>1044</v>
      </c>
      <c r="F103" s="273" t="s">
        <v>1044</v>
      </c>
    </row>
    <row r="104">
      <c r="A104" s="50" t="s">
        <v>172</v>
      </c>
      <c r="B104" s="398" t="s">
        <v>168</v>
      </c>
      <c r="C104" s="400">
        <v>60.0</v>
      </c>
      <c r="D104" s="273" t="s">
        <v>1058</v>
      </c>
      <c r="E104" s="273" t="s">
        <v>1051</v>
      </c>
      <c r="F104" s="273" t="s">
        <v>1055</v>
      </c>
    </row>
    <row r="105">
      <c r="A105" s="50" t="s">
        <v>58</v>
      </c>
      <c r="B105" s="398" t="s">
        <v>43</v>
      </c>
      <c r="C105" s="400">
        <v>50.0</v>
      </c>
      <c r="D105" s="273" t="s">
        <v>1058</v>
      </c>
      <c r="E105" s="273" t="s">
        <v>1044</v>
      </c>
      <c r="F105" s="273" t="s">
        <v>1044</v>
      </c>
    </row>
    <row r="106">
      <c r="A106" s="50" t="s">
        <v>34</v>
      </c>
      <c r="B106" s="398" t="s">
        <v>31</v>
      </c>
      <c r="C106" s="400">
        <v>50.0</v>
      </c>
      <c r="D106" s="273" t="s">
        <v>1044</v>
      </c>
      <c r="F106" s="106"/>
    </row>
    <row r="107">
      <c r="A107" s="50" t="s">
        <v>192</v>
      </c>
      <c r="B107" s="398" t="s">
        <v>91</v>
      </c>
      <c r="C107" s="400">
        <v>49.0</v>
      </c>
      <c r="D107" s="273" t="s">
        <v>1050</v>
      </c>
      <c r="E107" s="273" t="s">
        <v>1051</v>
      </c>
      <c r="F107" s="273" t="s">
        <v>1052</v>
      </c>
      <c r="G107" s="125" t="s">
        <v>1053</v>
      </c>
    </row>
    <row r="108">
      <c r="A108" s="50" t="s">
        <v>167</v>
      </c>
      <c r="B108" s="398" t="s">
        <v>168</v>
      </c>
      <c r="C108" s="400">
        <v>45.0</v>
      </c>
      <c r="D108" s="273" t="s">
        <v>1058</v>
      </c>
      <c r="E108" s="273" t="s">
        <v>1051</v>
      </c>
      <c r="F108" s="273" t="s">
        <v>1055</v>
      </c>
    </row>
    <row r="109">
      <c r="A109" s="50" t="s">
        <v>404</v>
      </c>
      <c r="B109" s="398" t="s">
        <v>396</v>
      </c>
      <c r="C109" s="400">
        <v>40.0</v>
      </c>
      <c r="D109" s="273" t="s">
        <v>1050</v>
      </c>
      <c r="E109" s="273" t="s">
        <v>1051</v>
      </c>
      <c r="F109" s="273" t="s">
        <v>1055</v>
      </c>
      <c r="G109" s="125" t="s">
        <v>1078</v>
      </c>
    </row>
    <row r="110">
      <c r="A110" s="50" t="s">
        <v>30</v>
      </c>
      <c r="B110" s="398" t="s">
        <v>31</v>
      </c>
      <c r="C110" s="400">
        <v>25.0</v>
      </c>
      <c r="D110" s="273" t="s">
        <v>1044</v>
      </c>
      <c r="F110" s="106"/>
    </row>
    <row r="111">
      <c r="A111" s="50" t="s">
        <v>400</v>
      </c>
      <c r="B111" s="398" t="s">
        <v>396</v>
      </c>
      <c r="C111" s="400">
        <v>20.0</v>
      </c>
      <c r="D111" s="273" t="s">
        <v>1050</v>
      </c>
      <c r="E111" s="273" t="s">
        <v>1051</v>
      </c>
      <c r="F111" s="273" t="s">
        <v>1055</v>
      </c>
      <c r="G111" s="125" t="s">
        <v>1078</v>
      </c>
    </row>
    <row r="112">
      <c r="A112" s="50" t="s">
        <v>394</v>
      </c>
      <c r="B112" s="398" t="s">
        <v>396</v>
      </c>
      <c r="C112" s="400">
        <v>1.0</v>
      </c>
      <c r="D112" s="273" t="s">
        <v>1050</v>
      </c>
      <c r="E112" s="273" t="s">
        <v>1051</v>
      </c>
      <c r="F112" s="273" t="s">
        <v>1055</v>
      </c>
      <c r="G112" s="125" t="s">
        <v>1078</v>
      </c>
    </row>
    <row r="113">
      <c r="A113" s="50" t="s">
        <v>124</v>
      </c>
      <c r="B113" s="398" t="s">
        <v>186</v>
      </c>
      <c r="C113" s="400">
        <v>1.0</v>
      </c>
      <c r="D113" s="273" t="s">
        <v>1044</v>
      </c>
      <c r="E113" s="273" t="s">
        <v>1044</v>
      </c>
      <c r="F113" s="273" t="s">
        <v>1044</v>
      </c>
    </row>
    <row r="114">
      <c r="A114" s="50" t="s">
        <v>435</v>
      </c>
      <c r="B114" s="398" t="s">
        <v>186</v>
      </c>
      <c r="C114" s="400">
        <v>1.0</v>
      </c>
      <c r="D114" s="273" t="s">
        <v>1044</v>
      </c>
      <c r="E114" s="273" t="s">
        <v>1044</v>
      </c>
      <c r="F114" s="273" t="s">
        <v>1044</v>
      </c>
    </row>
    <row r="115">
      <c r="A115" s="50" t="s">
        <v>399</v>
      </c>
      <c r="B115" s="398" t="s">
        <v>396</v>
      </c>
      <c r="C115" s="400">
        <v>1.0</v>
      </c>
      <c r="D115" s="273" t="s">
        <v>1050</v>
      </c>
      <c r="E115" s="273" t="s">
        <v>1051</v>
      </c>
      <c r="F115" s="273" t="s">
        <v>1055</v>
      </c>
      <c r="G115" s="125" t="s">
        <v>1078</v>
      </c>
    </row>
    <row r="116">
      <c r="A116" s="50" t="s">
        <v>41</v>
      </c>
      <c r="B116" s="398" t="s">
        <v>43</v>
      </c>
      <c r="C116" s="400">
        <v>1.0</v>
      </c>
      <c r="D116" s="273" t="s">
        <v>1058</v>
      </c>
      <c r="E116" s="273" t="s">
        <v>1051</v>
      </c>
      <c r="F116" s="273" t="s">
        <v>1055</v>
      </c>
    </row>
    <row r="117">
      <c r="A117" s="50" t="s">
        <v>190</v>
      </c>
      <c r="B117" s="398" t="s">
        <v>91</v>
      </c>
      <c r="C117" s="400">
        <v>1.0</v>
      </c>
      <c r="D117" s="273" t="s">
        <v>1050</v>
      </c>
      <c r="E117" s="273" t="s">
        <v>1051</v>
      </c>
      <c r="F117" s="273" t="s">
        <v>1052</v>
      </c>
      <c r="G117" s="125" t="s">
        <v>1053</v>
      </c>
    </row>
    <row r="118">
      <c r="A118" s="50" t="s">
        <v>430</v>
      </c>
      <c r="B118" s="398" t="s">
        <v>186</v>
      </c>
      <c r="C118" s="430">
        <v>0.1</v>
      </c>
      <c r="D118" s="273" t="s">
        <v>1058</v>
      </c>
      <c r="E118" s="273" t="s">
        <v>1051</v>
      </c>
      <c r="F118" s="273" t="s">
        <v>1055</v>
      </c>
    </row>
    <row r="119">
      <c r="A119" s="50" t="s">
        <v>423</v>
      </c>
      <c r="B119" s="398" t="s">
        <v>186</v>
      </c>
      <c r="C119" s="430">
        <v>0.052</v>
      </c>
      <c r="D119" s="273" t="s">
        <v>1058</v>
      </c>
      <c r="E119" s="273" t="s">
        <v>1051</v>
      </c>
      <c r="F119" s="273" t="s">
        <v>1055</v>
      </c>
    </row>
    <row r="120">
      <c r="A120" s="50" t="s">
        <v>149</v>
      </c>
      <c r="B120" s="398" t="s">
        <v>83</v>
      </c>
      <c r="C120" s="430">
        <v>0.042</v>
      </c>
      <c r="D120" s="273" t="s">
        <v>1050</v>
      </c>
      <c r="E120" s="273" t="s">
        <v>1051</v>
      </c>
      <c r="F120" s="273" t="s">
        <v>1055</v>
      </c>
    </row>
    <row r="121">
      <c r="A121" s="50" t="s">
        <v>147</v>
      </c>
      <c r="B121" s="398" t="s">
        <v>83</v>
      </c>
      <c r="C121" s="430">
        <v>0.042</v>
      </c>
      <c r="D121" s="273" t="s">
        <v>1050</v>
      </c>
      <c r="E121" s="273" t="s">
        <v>1051</v>
      </c>
      <c r="F121" s="273" t="s">
        <v>1055</v>
      </c>
    </row>
    <row r="122">
      <c r="A122" s="50" t="s">
        <v>36</v>
      </c>
      <c r="B122" s="398" t="s">
        <v>37</v>
      </c>
      <c r="C122" s="430">
        <v>0.033</v>
      </c>
      <c r="D122" s="273" t="s">
        <v>1058</v>
      </c>
      <c r="E122" s="273" t="s">
        <v>1051</v>
      </c>
      <c r="F122" s="273" t="s">
        <v>1046</v>
      </c>
      <c r="G122" s="125" t="s">
        <v>1086</v>
      </c>
    </row>
    <row r="123">
      <c r="A123" s="50" t="s">
        <v>418</v>
      </c>
      <c r="B123" s="398" t="s">
        <v>186</v>
      </c>
      <c r="C123" s="430">
        <v>0.03</v>
      </c>
      <c r="D123" s="273" t="s">
        <v>1058</v>
      </c>
      <c r="E123" s="273" t="s">
        <v>1051</v>
      </c>
      <c r="F123" s="273" t="s">
        <v>1055</v>
      </c>
    </row>
    <row r="124">
      <c r="A124" s="50" t="s">
        <v>146</v>
      </c>
      <c r="B124" s="398" t="s">
        <v>83</v>
      </c>
      <c r="C124" s="431">
        <v>0.022</v>
      </c>
      <c r="D124" s="273" t="s">
        <v>1050</v>
      </c>
      <c r="E124" s="273" t="s">
        <v>1051</v>
      </c>
      <c r="F124" s="273" t="s">
        <v>1055</v>
      </c>
    </row>
    <row r="125">
      <c r="A125" s="50" t="s">
        <v>144</v>
      </c>
      <c r="B125" s="398" t="s">
        <v>83</v>
      </c>
      <c r="C125" s="431">
        <v>0.022</v>
      </c>
      <c r="D125" s="273" t="s">
        <v>1050</v>
      </c>
      <c r="E125" s="273" t="s">
        <v>1051</v>
      </c>
      <c r="F125" s="273" t="s">
        <v>1055</v>
      </c>
    </row>
    <row r="126">
      <c r="A126" s="50" t="s">
        <v>142</v>
      </c>
      <c r="B126" s="398" t="s">
        <v>83</v>
      </c>
      <c r="C126" s="431">
        <v>0.02</v>
      </c>
      <c r="D126" s="273" t="s">
        <v>1050</v>
      </c>
      <c r="E126" s="273" t="s">
        <v>1051</v>
      </c>
      <c r="F126" s="273" t="s">
        <v>1055</v>
      </c>
    </row>
    <row r="127">
      <c r="A127" s="50" t="s">
        <v>138</v>
      </c>
      <c r="B127" s="398" t="s">
        <v>83</v>
      </c>
      <c r="C127" s="431">
        <v>0.015</v>
      </c>
      <c r="D127" s="273" t="s">
        <v>1050</v>
      </c>
      <c r="E127" s="273" t="s">
        <v>1051</v>
      </c>
      <c r="F127" s="273" t="s">
        <v>1055</v>
      </c>
      <c r="G127" s="125" t="s">
        <v>1088</v>
      </c>
    </row>
    <row r="128">
      <c r="A128" s="50" t="s">
        <v>140</v>
      </c>
      <c r="B128" s="398" t="s">
        <v>83</v>
      </c>
      <c r="C128" s="431">
        <v>0.015</v>
      </c>
      <c r="D128" s="273" t="s">
        <v>1050</v>
      </c>
      <c r="E128" s="273" t="s">
        <v>1051</v>
      </c>
      <c r="F128" s="273" t="s">
        <v>1055</v>
      </c>
      <c r="G128" s="125" t="s">
        <v>1089</v>
      </c>
    </row>
    <row r="129">
      <c r="A129" s="50" t="s">
        <v>136</v>
      </c>
      <c r="B129" s="398" t="s">
        <v>83</v>
      </c>
      <c r="C129" s="434">
        <v>-70.0</v>
      </c>
      <c r="D129" s="273" t="s">
        <v>1050</v>
      </c>
      <c r="E129" s="273" t="s">
        <v>1051</v>
      </c>
      <c r="F129" s="273" t="s">
        <v>1055</v>
      </c>
    </row>
    <row r="130">
      <c r="A130" s="50" t="s">
        <v>514</v>
      </c>
      <c r="B130" s="398" t="s">
        <v>186</v>
      </c>
      <c r="C130" s="435" t="s">
        <v>135</v>
      </c>
      <c r="D130" s="273" t="s">
        <v>1050</v>
      </c>
      <c r="E130" s="273" t="s">
        <v>1051</v>
      </c>
      <c r="F130" s="273" t="s">
        <v>1055</v>
      </c>
    </row>
    <row r="131">
      <c r="A131" s="50" t="s">
        <v>517</v>
      </c>
      <c r="B131" s="398" t="s">
        <v>186</v>
      </c>
      <c r="C131" s="435" t="s">
        <v>135</v>
      </c>
      <c r="D131" s="273" t="s">
        <v>1050</v>
      </c>
      <c r="E131" s="273" t="s">
        <v>1051</v>
      </c>
      <c r="F131" s="273" t="s">
        <v>1055</v>
      </c>
    </row>
    <row r="132">
      <c r="A132" s="50" t="s">
        <v>521</v>
      </c>
      <c r="B132" s="398" t="s">
        <v>186</v>
      </c>
      <c r="C132" s="435" t="s">
        <v>135</v>
      </c>
      <c r="D132" s="273" t="s">
        <v>1050</v>
      </c>
      <c r="E132" s="273" t="s">
        <v>1051</v>
      </c>
      <c r="F132" s="273" t="s">
        <v>1055</v>
      </c>
    </row>
    <row r="133">
      <c r="A133" s="50" t="s">
        <v>1090</v>
      </c>
      <c r="B133" s="398" t="s">
        <v>186</v>
      </c>
      <c r="C133" s="435" t="s">
        <v>135</v>
      </c>
      <c r="D133" s="273" t="s">
        <v>1050</v>
      </c>
      <c r="E133" s="273" t="s">
        <v>1051</v>
      </c>
      <c r="F133" s="273" t="s">
        <v>1055</v>
      </c>
    </row>
    <row r="134">
      <c r="A134" s="50" t="s">
        <v>413</v>
      </c>
      <c r="B134" s="398" t="s">
        <v>186</v>
      </c>
      <c r="C134" s="435" t="s">
        <v>135</v>
      </c>
      <c r="D134" s="273" t="s">
        <v>1044</v>
      </c>
      <c r="E134" s="273" t="s">
        <v>1044</v>
      </c>
      <c r="F134" s="273" t="s">
        <v>1044</v>
      </c>
    </row>
    <row r="135">
      <c r="A135" s="50" t="s">
        <v>134</v>
      </c>
      <c r="B135" s="398" t="s">
        <v>83</v>
      </c>
      <c r="C135" s="435" t="s">
        <v>135</v>
      </c>
      <c r="D135" s="273" t="s">
        <v>1058</v>
      </c>
      <c r="E135" s="273" t="s">
        <v>1051</v>
      </c>
      <c r="F135" s="273" t="s">
        <v>1055</v>
      </c>
    </row>
    <row r="136">
      <c r="A136" s="50" t="s">
        <v>156</v>
      </c>
      <c r="B136" s="421" t="s">
        <v>83</v>
      </c>
      <c r="C136" s="400">
        <v>250.0</v>
      </c>
      <c r="D136" s="273" t="s">
        <v>1058</v>
      </c>
      <c r="E136" s="273" t="s">
        <v>1051</v>
      </c>
      <c r="F136" s="273" t="s">
        <v>1055</v>
      </c>
      <c r="G136" s="125" t="s">
        <v>1093</v>
      </c>
    </row>
    <row r="137">
      <c r="A137" s="50" t="s">
        <v>153</v>
      </c>
      <c r="B137" s="421" t="s">
        <v>83</v>
      </c>
      <c r="C137" s="400">
        <v>175.0</v>
      </c>
      <c r="D137" s="273" t="s">
        <v>1050</v>
      </c>
      <c r="E137" s="273" t="s">
        <v>1051</v>
      </c>
      <c r="F137" s="273" t="s">
        <v>1055</v>
      </c>
      <c r="G137" s="125" t="s">
        <v>1088</v>
      </c>
    </row>
    <row r="138">
      <c r="A138" s="125" t="s">
        <v>626</v>
      </c>
      <c r="B138" s="273" t="s">
        <v>186</v>
      </c>
      <c r="C138" s="400">
        <v>150.0</v>
      </c>
      <c r="D138" s="273" t="s">
        <v>1058</v>
      </c>
      <c r="E138" s="273" t="s">
        <v>1051</v>
      </c>
      <c r="F138" s="273" t="s">
        <v>1055</v>
      </c>
    </row>
    <row r="139">
      <c r="A139" s="125" t="s">
        <v>628</v>
      </c>
      <c r="B139" s="273" t="s">
        <v>186</v>
      </c>
      <c r="C139" s="400">
        <v>150.0</v>
      </c>
      <c r="D139" s="273" t="s">
        <v>1058</v>
      </c>
      <c r="E139" s="273" t="s">
        <v>1051</v>
      </c>
      <c r="F139" s="273" t="s">
        <v>1055</v>
      </c>
    </row>
    <row r="140">
      <c r="B140" s="106"/>
      <c r="F140" s="106"/>
    </row>
    <row r="141">
      <c r="B141" s="106"/>
      <c r="F141" s="106"/>
    </row>
    <row r="142">
      <c r="B142" s="106"/>
      <c r="F142" s="106"/>
      <c r="G142" s="417" t="s">
        <v>1094</v>
      </c>
    </row>
    <row r="143">
      <c r="B143" s="106"/>
      <c r="F143" s="106"/>
    </row>
    <row r="144">
      <c r="B144" s="106"/>
      <c r="F144" s="106"/>
    </row>
    <row r="145">
      <c r="B145" s="106"/>
      <c r="F145" s="106"/>
    </row>
    <row r="146">
      <c r="B146" s="106"/>
      <c r="F146" s="106"/>
    </row>
    <row r="147">
      <c r="B147" s="106"/>
      <c r="F147" s="106"/>
    </row>
    <row r="148">
      <c r="B148" s="106"/>
      <c r="F148" s="106"/>
    </row>
    <row r="149">
      <c r="B149" s="106"/>
      <c r="F149" s="106"/>
    </row>
    <row r="150">
      <c r="B150" s="106"/>
      <c r="F150" s="106"/>
    </row>
    <row r="151">
      <c r="B151" s="106"/>
      <c r="F151" s="106"/>
    </row>
    <row r="152">
      <c r="B152" s="106"/>
      <c r="F152" s="106"/>
    </row>
    <row r="153">
      <c r="B153" s="106"/>
      <c r="F153" s="106"/>
    </row>
    <row r="154">
      <c r="B154" s="106"/>
      <c r="F154" s="106"/>
    </row>
    <row r="155">
      <c r="B155" s="106"/>
      <c r="F155" s="106"/>
    </row>
    <row r="156">
      <c r="B156" s="106"/>
      <c r="F156" s="106"/>
    </row>
    <row r="157">
      <c r="B157" s="106"/>
      <c r="F157" s="106"/>
    </row>
    <row r="158">
      <c r="B158" s="106"/>
      <c r="F158" s="106"/>
    </row>
    <row r="159">
      <c r="B159" s="106"/>
      <c r="F159" s="106"/>
    </row>
    <row r="160">
      <c r="B160" s="106"/>
      <c r="F160" s="106"/>
    </row>
    <row r="161">
      <c r="B161" s="106"/>
      <c r="F161" s="106"/>
    </row>
    <row r="162">
      <c r="B162" s="106"/>
      <c r="F162" s="106"/>
    </row>
    <row r="163">
      <c r="B163" s="106"/>
      <c r="F163" s="106"/>
    </row>
    <row r="164">
      <c r="B164" s="106"/>
      <c r="F164" s="106"/>
    </row>
    <row r="165">
      <c r="B165" s="106"/>
      <c r="F165" s="106"/>
    </row>
    <row r="166">
      <c r="B166" s="106"/>
      <c r="F166" s="106"/>
    </row>
    <row r="167">
      <c r="B167" s="106"/>
      <c r="F167" s="106"/>
    </row>
    <row r="168">
      <c r="B168" s="106"/>
      <c r="F168" s="106"/>
    </row>
    <row r="169">
      <c r="B169" s="106"/>
      <c r="F169" s="106"/>
    </row>
    <row r="170">
      <c r="B170" s="106"/>
      <c r="F170" s="106"/>
    </row>
    <row r="171">
      <c r="B171" s="106"/>
      <c r="F171" s="106"/>
    </row>
    <row r="172">
      <c r="B172" s="106"/>
      <c r="F172" s="106"/>
    </row>
    <row r="173">
      <c r="B173" s="106"/>
      <c r="F173" s="106"/>
    </row>
    <row r="174">
      <c r="B174" s="106"/>
      <c r="F174" s="106"/>
    </row>
    <row r="175">
      <c r="B175" s="106"/>
      <c r="F175" s="106"/>
    </row>
    <row r="176">
      <c r="B176" s="106"/>
      <c r="F176" s="106"/>
    </row>
    <row r="177">
      <c r="B177" s="106"/>
      <c r="F177" s="106"/>
    </row>
    <row r="178">
      <c r="B178" s="106"/>
      <c r="F178" s="106"/>
    </row>
    <row r="179">
      <c r="B179" s="106"/>
      <c r="F179" s="106"/>
    </row>
    <row r="180">
      <c r="B180" s="106"/>
      <c r="F180" s="106"/>
    </row>
    <row r="181">
      <c r="B181" s="106"/>
      <c r="F181" s="106"/>
    </row>
    <row r="182">
      <c r="B182" s="106"/>
      <c r="F182" s="106"/>
    </row>
    <row r="183">
      <c r="B183" s="106"/>
      <c r="F183" s="106"/>
    </row>
    <row r="184">
      <c r="B184" s="106"/>
      <c r="F184" s="106"/>
    </row>
    <row r="185">
      <c r="B185" s="106"/>
      <c r="F185" s="106"/>
    </row>
    <row r="186">
      <c r="B186" s="106"/>
      <c r="F186" s="106"/>
    </row>
    <row r="187">
      <c r="B187" s="106"/>
      <c r="F187" s="106"/>
    </row>
    <row r="188">
      <c r="B188" s="106"/>
      <c r="F188" s="106"/>
    </row>
    <row r="189">
      <c r="B189" s="106"/>
      <c r="F189" s="106"/>
    </row>
    <row r="190">
      <c r="B190" s="106"/>
      <c r="F190" s="106"/>
    </row>
    <row r="191">
      <c r="B191" s="106"/>
      <c r="F191" s="106"/>
    </row>
    <row r="192">
      <c r="B192" s="106"/>
      <c r="F192" s="106"/>
    </row>
    <row r="193">
      <c r="B193" s="106"/>
      <c r="F193" s="106"/>
    </row>
    <row r="194">
      <c r="B194" s="106"/>
      <c r="F194" s="106"/>
    </row>
    <row r="195">
      <c r="B195" s="106"/>
      <c r="F195" s="106"/>
    </row>
    <row r="196">
      <c r="B196" s="106"/>
      <c r="F196" s="106"/>
    </row>
    <row r="197">
      <c r="B197" s="106"/>
      <c r="F197" s="106"/>
    </row>
    <row r="198">
      <c r="B198" s="106"/>
      <c r="F198" s="106"/>
    </row>
    <row r="199">
      <c r="B199" s="106"/>
      <c r="F199" s="106"/>
    </row>
    <row r="200">
      <c r="B200" s="106"/>
      <c r="F200" s="106"/>
    </row>
    <row r="201">
      <c r="B201" s="106"/>
      <c r="F201" s="106"/>
    </row>
    <row r="202">
      <c r="B202" s="106"/>
      <c r="F202" s="106"/>
    </row>
    <row r="203">
      <c r="B203" s="106"/>
      <c r="F203" s="106"/>
    </row>
    <row r="204">
      <c r="B204" s="106"/>
      <c r="F204" s="106"/>
    </row>
    <row r="205">
      <c r="B205" s="106"/>
      <c r="F205" s="106"/>
    </row>
    <row r="206">
      <c r="B206" s="106"/>
      <c r="F206" s="106"/>
    </row>
    <row r="207">
      <c r="B207" s="106"/>
      <c r="F207" s="106"/>
    </row>
    <row r="208">
      <c r="B208" s="106"/>
      <c r="F208" s="106"/>
    </row>
    <row r="209">
      <c r="B209" s="106"/>
      <c r="F209" s="106"/>
    </row>
    <row r="210">
      <c r="B210" s="106"/>
      <c r="F210" s="106"/>
    </row>
    <row r="211">
      <c r="B211" s="106"/>
      <c r="F211" s="106"/>
    </row>
    <row r="212">
      <c r="B212" s="106"/>
      <c r="F212" s="106"/>
    </row>
    <row r="213">
      <c r="B213" s="106"/>
      <c r="F213" s="106"/>
    </row>
    <row r="214">
      <c r="B214" s="106"/>
      <c r="F214" s="106"/>
    </row>
    <row r="215">
      <c r="B215" s="106"/>
      <c r="F215" s="106"/>
    </row>
    <row r="216">
      <c r="B216" s="106"/>
      <c r="F216" s="106"/>
    </row>
    <row r="217">
      <c r="B217" s="106"/>
      <c r="F217" s="106"/>
    </row>
    <row r="218">
      <c r="B218" s="106"/>
      <c r="F218" s="106"/>
    </row>
    <row r="219">
      <c r="B219" s="106"/>
      <c r="F219" s="106"/>
    </row>
    <row r="220">
      <c r="B220" s="106"/>
      <c r="F220" s="106"/>
    </row>
    <row r="221">
      <c r="B221" s="106"/>
      <c r="F221" s="106"/>
    </row>
    <row r="222">
      <c r="B222" s="106"/>
      <c r="F222" s="106"/>
    </row>
    <row r="223">
      <c r="B223" s="106"/>
      <c r="F223" s="106"/>
    </row>
    <row r="224">
      <c r="B224" s="106"/>
      <c r="F224" s="106"/>
    </row>
    <row r="225">
      <c r="B225" s="106"/>
      <c r="F225" s="106"/>
    </row>
    <row r="226">
      <c r="B226" s="106"/>
      <c r="F226" s="106"/>
    </row>
    <row r="227">
      <c r="B227" s="106"/>
      <c r="F227" s="106"/>
    </row>
    <row r="228">
      <c r="B228" s="106"/>
      <c r="F228" s="106"/>
    </row>
    <row r="229">
      <c r="B229" s="106"/>
      <c r="F229" s="106"/>
    </row>
    <row r="230">
      <c r="B230" s="106"/>
      <c r="F230" s="106"/>
    </row>
    <row r="231">
      <c r="B231" s="106"/>
      <c r="F231" s="106"/>
    </row>
    <row r="232">
      <c r="B232" s="106"/>
      <c r="F232" s="106"/>
    </row>
    <row r="233">
      <c r="B233" s="106"/>
      <c r="F233" s="106"/>
    </row>
    <row r="234">
      <c r="B234" s="106"/>
      <c r="F234" s="106"/>
    </row>
    <row r="235">
      <c r="B235" s="106"/>
      <c r="F235" s="106"/>
    </row>
    <row r="236">
      <c r="B236" s="106"/>
      <c r="F236" s="106"/>
    </row>
    <row r="237">
      <c r="B237" s="106"/>
      <c r="F237" s="106"/>
    </row>
    <row r="238">
      <c r="B238" s="106"/>
      <c r="F238" s="106"/>
    </row>
    <row r="239">
      <c r="B239" s="106"/>
      <c r="F239" s="106"/>
    </row>
    <row r="240">
      <c r="B240" s="106"/>
      <c r="F240" s="106"/>
    </row>
    <row r="241">
      <c r="B241" s="106"/>
      <c r="F241" s="106"/>
    </row>
    <row r="242">
      <c r="B242" s="106"/>
      <c r="F242" s="106"/>
    </row>
    <row r="243">
      <c r="B243" s="106"/>
      <c r="F243" s="106"/>
    </row>
    <row r="244">
      <c r="B244" s="106"/>
      <c r="F244" s="106"/>
    </row>
    <row r="245">
      <c r="B245" s="106"/>
      <c r="F245" s="106"/>
    </row>
    <row r="246">
      <c r="B246" s="106"/>
      <c r="F246" s="106"/>
    </row>
    <row r="247">
      <c r="B247" s="106"/>
      <c r="F247" s="106"/>
    </row>
    <row r="248">
      <c r="B248" s="106"/>
      <c r="F248" s="106"/>
    </row>
    <row r="249">
      <c r="B249" s="106"/>
      <c r="F249" s="106"/>
    </row>
    <row r="250">
      <c r="B250" s="106"/>
      <c r="F250" s="106"/>
    </row>
    <row r="251">
      <c r="B251" s="106"/>
      <c r="F251" s="106"/>
    </row>
    <row r="252">
      <c r="B252" s="106"/>
      <c r="F252" s="106"/>
    </row>
    <row r="253">
      <c r="B253" s="106"/>
      <c r="F253" s="106"/>
    </row>
    <row r="254">
      <c r="B254" s="106"/>
      <c r="F254" s="106"/>
    </row>
    <row r="255">
      <c r="B255" s="106"/>
      <c r="F255" s="106"/>
    </row>
    <row r="256">
      <c r="B256" s="106"/>
      <c r="F256" s="106"/>
    </row>
    <row r="257">
      <c r="B257" s="106"/>
      <c r="F257" s="106"/>
    </row>
    <row r="258">
      <c r="B258" s="106"/>
      <c r="F258" s="106"/>
    </row>
    <row r="259">
      <c r="B259" s="106"/>
      <c r="F259" s="106"/>
    </row>
    <row r="260">
      <c r="B260" s="106"/>
      <c r="F260" s="106"/>
    </row>
    <row r="261">
      <c r="B261" s="106"/>
      <c r="F261" s="106"/>
    </row>
    <row r="262">
      <c r="B262" s="106"/>
      <c r="F262" s="106"/>
    </row>
    <row r="263">
      <c r="B263" s="106"/>
      <c r="F263" s="106"/>
    </row>
    <row r="264">
      <c r="B264" s="106"/>
      <c r="F264" s="106"/>
    </row>
    <row r="265">
      <c r="B265" s="106"/>
      <c r="F265" s="106"/>
    </row>
    <row r="266">
      <c r="B266" s="106"/>
      <c r="F266" s="106"/>
    </row>
    <row r="267">
      <c r="B267" s="106"/>
      <c r="F267" s="106"/>
    </row>
    <row r="268">
      <c r="B268" s="106"/>
      <c r="F268" s="106"/>
    </row>
    <row r="269">
      <c r="B269" s="106"/>
      <c r="F269" s="106"/>
    </row>
    <row r="270">
      <c r="B270" s="106"/>
      <c r="F270" s="106"/>
    </row>
    <row r="271">
      <c r="B271" s="106"/>
      <c r="F271" s="106"/>
    </row>
    <row r="272">
      <c r="B272" s="106"/>
      <c r="F272" s="106"/>
    </row>
    <row r="273">
      <c r="B273" s="106"/>
      <c r="F273" s="106"/>
    </row>
    <row r="274">
      <c r="B274" s="106"/>
      <c r="F274" s="106"/>
    </row>
    <row r="275">
      <c r="B275" s="106"/>
      <c r="F275" s="106"/>
    </row>
    <row r="276">
      <c r="B276" s="106"/>
      <c r="F276" s="106"/>
    </row>
    <row r="277">
      <c r="B277" s="106"/>
      <c r="F277" s="106"/>
    </row>
    <row r="278">
      <c r="B278" s="106"/>
      <c r="F278" s="106"/>
    </row>
    <row r="279">
      <c r="B279" s="106"/>
      <c r="F279" s="106"/>
    </row>
    <row r="280">
      <c r="B280" s="106"/>
      <c r="F280" s="106"/>
    </row>
    <row r="281">
      <c r="B281" s="106"/>
      <c r="F281" s="106"/>
    </row>
    <row r="282">
      <c r="B282" s="106"/>
      <c r="F282" s="106"/>
    </row>
    <row r="283">
      <c r="B283" s="106"/>
      <c r="F283" s="106"/>
    </row>
    <row r="284">
      <c r="B284" s="106"/>
      <c r="F284" s="106"/>
    </row>
    <row r="285">
      <c r="B285" s="106"/>
      <c r="F285" s="106"/>
    </row>
    <row r="286">
      <c r="B286" s="106"/>
      <c r="F286" s="106"/>
    </row>
    <row r="287">
      <c r="B287" s="106"/>
      <c r="F287" s="106"/>
    </row>
    <row r="288">
      <c r="B288" s="106"/>
      <c r="F288" s="106"/>
    </row>
    <row r="289">
      <c r="B289" s="106"/>
      <c r="F289" s="106"/>
    </row>
    <row r="290">
      <c r="B290" s="106"/>
      <c r="F290" s="106"/>
    </row>
    <row r="291">
      <c r="B291" s="106"/>
      <c r="F291" s="106"/>
    </row>
    <row r="292">
      <c r="B292" s="106"/>
      <c r="F292" s="106"/>
    </row>
    <row r="293">
      <c r="B293" s="106"/>
      <c r="F293" s="106"/>
    </row>
    <row r="294">
      <c r="B294" s="106"/>
      <c r="F294" s="106"/>
    </row>
    <row r="295">
      <c r="B295" s="106"/>
      <c r="F295" s="106"/>
    </row>
    <row r="296">
      <c r="B296" s="106"/>
      <c r="F296" s="106"/>
    </row>
    <row r="297">
      <c r="B297" s="106"/>
      <c r="F297" s="106"/>
    </row>
    <row r="298">
      <c r="B298" s="106"/>
      <c r="F298" s="106"/>
    </row>
    <row r="299">
      <c r="B299" s="106"/>
      <c r="F299" s="106"/>
    </row>
    <row r="300">
      <c r="B300" s="106"/>
      <c r="F300" s="106"/>
    </row>
    <row r="301">
      <c r="B301" s="106"/>
      <c r="F301" s="106"/>
    </row>
    <row r="302">
      <c r="B302" s="106"/>
      <c r="F302" s="106"/>
    </row>
    <row r="303">
      <c r="B303" s="106"/>
      <c r="F303" s="106"/>
    </row>
    <row r="304">
      <c r="B304" s="106"/>
      <c r="F304" s="106"/>
    </row>
    <row r="305">
      <c r="B305" s="106"/>
      <c r="F305" s="106"/>
    </row>
    <row r="306">
      <c r="B306" s="106"/>
      <c r="F306" s="106"/>
    </row>
    <row r="307">
      <c r="B307" s="106"/>
      <c r="F307" s="106"/>
    </row>
    <row r="308">
      <c r="B308" s="106"/>
      <c r="F308" s="106"/>
    </row>
    <row r="309">
      <c r="B309" s="106"/>
      <c r="F309" s="106"/>
    </row>
    <row r="310">
      <c r="B310" s="106"/>
      <c r="F310" s="106"/>
    </row>
    <row r="311">
      <c r="B311" s="106"/>
      <c r="F311" s="106"/>
    </row>
    <row r="312">
      <c r="B312" s="106"/>
      <c r="F312" s="106"/>
    </row>
    <row r="313">
      <c r="B313" s="106"/>
      <c r="F313" s="106"/>
    </row>
    <row r="314">
      <c r="B314" s="106"/>
      <c r="F314" s="106"/>
    </row>
    <row r="315">
      <c r="B315" s="106"/>
      <c r="F315" s="106"/>
    </row>
    <row r="316">
      <c r="B316" s="106"/>
      <c r="F316" s="106"/>
    </row>
    <row r="317">
      <c r="B317" s="106"/>
      <c r="F317" s="106"/>
    </row>
    <row r="318">
      <c r="B318" s="106"/>
      <c r="F318" s="106"/>
    </row>
    <row r="319">
      <c r="B319" s="106"/>
      <c r="F319" s="106"/>
    </row>
    <row r="320">
      <c r="B320" s="106"/>
      <c r="F320" s="106"/>
    </row>
    <row r="321">
      <c r="B321" s="106"/>
      <c r="F321" s="106"/>
    </row>
    <row r="322">
      <c r="B322" s="106"/>
      <c r="F322" s="106"/>
    </row>
    <row r="323">
      <c r="B323" s="106"/>
      <c r="F323" s="106"/>
    </row>
    <row r="324">
      <c r="B324" s="106"/>
      <c r="F324" s="106"/>
    </row>
    <row r="325">
      <c r="B325" s="106"/>
      <c r="F325" s="106"/>
    </row>
    <row r="326">
      <c r="B326" s="106"/>
      <c r="F326" s="106"/>
    </row>
    <row r="327">
      <c r="B327" s="106"/>
      <c r="F327" s="106"/>
    </row>
    <row r="328">
      <c r="B328" s="106"/>
      <c r="F328" s="106"/>
    </row>
    <row r="329">
      <c r="B329" s="106"/>
      <c r="F329" s="106"/>
    </row>
    <row r="330">
      <c r="B330" s="106"/>
      <c r="F330" s="106"/>
    </row>
    <row r="331">
      <c r="B331" s="106"/>
      <c r="F331" s="106"/>
    </row>
    <row r="332">
      <c r="B332" s="106"/>
      <c r="F332" s="106"/>
    </row>
    <row r="333">
      <c r="B333" s="106"/>
      <c r="F333" s="106"/>
    </row>
    <row r="334">
      <c r="B334" s="106"/>
      <c r="F334" s="106"/>
    </row>
    <row r="335">
      <c r="B335" s="106"/>
      <c r="F335" s="106"/>
    </row>
    <row r="336">
      <c r="B336" s="106"/>
      <c r="F336" s="106"/>
    </row>
    <row r="337">
      <c r="B337" s="106"/>
      <c r="F337" s="106"/>
    </row>
    <row r="338">
      <c r="B338" s="106"/>
      <c r="F338" s="106"/>
    </row>
    <row r="339">
      <c r="B339" s="106"/>
      <c r="F339" s="106"/>
    </row>
    <row r="340">
      <c r="B340" s="106"/>
      <c r="F340" s="106"/>
    </row>
    <row r="341">
      <c r="B341" s="106"/>
      <c r="F341" s="106"/>
    </row>
    <row r="342">
      <c r="B342" s="106"/>
      <c r="F342" s="106"/>
    </row>
    <row r="343">
      <c r="B343" s="106"/>
      <c r="F343" s="106"/>
    </row>
    <row r="344">
      <c r="B344" s="106"/>
      <c r="F344" s="106"/>
    </row>
    <row r="345">
      <c r="B345" s="106"/>
      <c r="F345" s="106"/>
    </row>
    <row r="346">
      <c r="B346" s="106"/>
      <c r="F346" s="106"/>
    </row>
    <row r="347">
      <c r="B347" s="106"/>
      <c r="F347" s="106"/>
    </row>
    <row r="348">
      <c r="B348" s="106"/>
      <c r="F348" s="106"/>
    </row>
    <row r="349">
      <c r="B349" s="106"/>
      <c r="F349" s="106"/>
    </row>
    <row r="350">
      <c r="B350" s="106"/>
      <c r="F350" s="106"/>
    </row>
    <row r="351">
      <c r="B351" s="106"/>
      <c r="F351" s="106"/>
    </row>
    <row r="352">
      <c r="B352" s="106"/>
      <c r="F352" s="106"/>
    </row>
    <row r="353">
      <c r="B353" s="106"/>
      <c r="F353" s="106"/>
    </row>
    <row r="354">
      <c r="B354" s="106"/>
      <c r="F354" s="106"/>
    </row>
    <row r="355">
      <c r="B355" s="106"/>
      <c r="F355" s="106"/>
    </row>
    <row r="356">
      <c r="B356" s="106"/>
      <c r="F356" s="106"/>
    </row>
    <row r="357">
      <c r="B357" s="106"/>
      <c r="F357" s="106"/>
    </row>
    <row r="358">
      <c r="B358" s="106"/>
      <c r="F358" s="106"/>
    </row>
    <row r="359">
      <c r="B359" s="106"/>
      <c r="F359" s="106"/>
    </row>
    <row r="360">
      <c r="B360" s="106"/>
      <c r="F360" s="106"/>
    </row>
    <row r="361">
      <c r="B361" s="106"/>
      <c r="F361" s="106"/>
    </row>
    <row r="362">
      <c r="B362" s="106"/>
      <c r="F362" s="106"/>
    </row>
    <row r="363">
      <c r="B363" s="106"/>
      <c r="F363" s="106"/>
    </row>
    <row r="364">
      <c r="B364" s="106"/>
      <c r="F364" s="106"/>
    </row>
    <row r="365">
      <c r="B365" s="106"/>
      <c r="F365" s="106"/>
    </row>
    <row r="366">
      <c r="B366" s="106"/>
      <c r="F366" s="106"/>
    </row>
    <row r="367">
      <c r="B367" s="106"/>
      <c r="F367" s="106"/>
    </row>
    <row r="368">
      <c r="B368" s="106"/>
      <c r="F368" s="106"/>
    </row>
    <row r="369">
      <c r="B369" s="106"/>
      <c r="F369" s="106"/>
    </row>
    <row r="370">
      <c r="B370" s="106"/>
      <c r="F370" s="106"/>
    </row>
    <row r="371">
      <c r="B371" s="106"/>
      <c r="F371" s="106"/>
    </row>
    <row r="372">
      <c r="B372" s="106"/>
      <c r="F372" s="106"/>
    </row>
    <row r="373">
      <c r="B373" s="106"/>
      <c r="F373" s="106"/>
    </row>
    <row r="374">
      <c r="B374" s="106"/>
      <c r="F374" s="106"/>
    </row>
    <row r="375">
      <c r="B375" s="106"/>
      <c r="F375" s="106"/>
    </row>
    <row r="376">
      <c r="B376" s="106"/>
      <c r="F376" s="106"/>
    </row>
    <row r="377">
      <c r="B377" s="106"/>
      <c r="F377" s="106"/>
    </row>
    <row r="378">
      <c r="B378" s="106"/>
      <c r="F378" s="106"/>
    </row>
    <row r="379">
      <c r="B379" s="106"/>
      <c r="F379" s="106"/>
    </row>
    <row r="380">
      <c r="B380" s="106"/>
      <c r="F380" s="106"/>
    </row>
    <row r="381">
      <c r="B381" s="106"/>
      <c r="F381" s="106"/>
    </row>
    <row r="382">
      <c r="B382" s="106"/>
      <c r="F382" s="106"/>
    </row>
    <row r="383">
      <c r="B383" s="106"/>
      <c r="F383" s="106"/>
    </row>
    <row r="384">
      <c r="B384" s="106"/>
      <c r="F384" s="106"/>
    </row>
    <row r="385">
      <c r="B385" s="106"/>
      <c r="F385" s="106"/>
    </row>
    <row r="386">
      <c r="B386" s="106"/>
      <c r="F386" s="106"/>
    </row>
    <row r="387">
      <c r="B387" s="106"/>
      <c r="F387" s="106"/>
    </row>
    <row r="388">
      <c r="B388" s="106"/>
      <c r="F388" s="106"/>
    </row>
    <row r="389">
      <c r="B389" s="106"/>
      <c r="F389" s="106"/>
    </row>
    <row r="390">
      <c r="B390" s="106"/>
      <c r="F390" s="106"/>
    </row>
    <row r="391">
      <c r="B391" s="106"/>
      <c r="F391" s="106"/>
    </row>
    <row r="392">
      <c r="B392" s="106"/>
      <c r="F392" s="106"/>
    </row>
    <row r="393">
      <c r="B393" s="106"/>
      <c r="F393" s="106"/>
    </row>
    <row r="394">
      <c r="B394" s="106"/>
      <c r="F394" s="106"/>
    </row>
    <row r="395">
      <c r="B395" s="106"/>
      <c r="F395" s="106"/>
    </row>
    <row r="396">
      <c r="B396" s="106"/>
      <c r="F396" s="106"/>
    </row>
    <row r="397">
      <c r="B397" s="106"/>
      <c r="F397" s="106"/>
    </row>
    <row r="398">
      <c r="B398" s="106"/>
      <c r="F398" s="106"/>
    </row>
    <row r="399">
      <c r="B399" s="106"/>
      <c r="F399" s="106"/>
    </row>
    <row r="400">
      <c r="B400" s="106"/>
      <c r="F400" s="106"/>
    </row>
    <row r="401">
      <c r="B401" s="106"/>
      <c r="F401" s="106"/>
    </row>
    <row r="402">
      <c r="B402" s="106"/>
      <c r="F402" s="106"/>
    </row>
    <row r="403">
      <c r="B403" s="106"/>
      <c r="F403" s="106"/>
    </row>
    <row r="404">
      <c r="B404" s="106"/>
      <c r="F404" s="106"/>
    </row>
    <row r="405">
      <c r="B405" s="106"/>
      <c r="F405" s="106"/>
    </row>
    <row r="406">
      <c r="B406" s="106"/>
      <c r="F406" s="106"/>
    </row>
    <row r="407">
      <c r="B407" s="106"/>
      <c r="F407" s="106"/>
    </row>
    <row r="408">
      <c r="B408" s="106"/>
      <c r="F408" s="106"/>
    </row>
    <row r="409">
      <c r="B409" s="106"/>
      <c r="F409" s="106"/>
    </row>
    <row r="410">
      <c r="B410" s="106"/>
      <c r="F410" s="106"/>
    </row>
    <row r="411">
      <c r="B411" s="106"/>
      <c r="F411" s="106"/>
    </row>
    <row r="412">
      <c r="B412" s="106"/>
      <c r="F412" s="106"/>
    </row>
    <row r="413">
      <c r="B413" s="106"/>
      <c r="F413" s="106"/>
    </row>
    <row r="414">
      <c r="B414" s="106"/>
      <c r="F414" s="106"/>
    </row>
    <row r="415">
      <c r="B415" s="106"/>
      <c r="F415" s="106"/>
    </row>
    <row r="416">
      <c r="B416" s="106"/>
      <c r="F416" s="106"/>
    </row>
    <row r="417">
      <c r="B417" s="106"/>
      <c r="F417" s="106"/>
    </row>
    <row r="418">
      <c r="B418" s="106"/>
      <c r="F418" s="106"/>
    </row>
    <row r="419">
      <c r="B419" s="106"/>
      <c r="F419" s="106"/>
    </row>
    <row r="420">
      <c r="B420" s="106"/>
      <c r="F420" s="106"/>
    </row>
    <row r="421">
      <c r="B421" s="106"/>
      <c r="F421" s="106"/>
    </row>
    <row r="422">
      <c r="B422" s="106"/>
      <c r="F422" s="106"/>
    </row>
    <row r="423">
      <c r="B423" s="106"/>
      <c r="F423" s="106"/>
    </row>
    <row r="424">
      <c r="B424" s="106"/>
      <c r="F424" s="106"/>
    </row>
    <row r="425">
      <c r="B425" s="106"/>
      <c r="F425" s="106"/>
    </row>
    <row r="426">
      <c r="B426" s="106"/>
      <c r="F426" s="106"/>
    </row>
    <row r="427">
      <c r="B427" s="106"/>
      <c r="F427" s="106"/>
    </row>
    <row r="428">
      <c r="B428" s="106"/>
      <c r="F428" s="106"/>
    </row>
    <row r="429">
      <c r="B429" s="106"/>
      <c r="F429" s="106"/>
    </row>
    <row r="430">
      <c r="B430" s="106"/>
      <c r="F430" s="106"/>
    </row>
    <row r="431">
      <c r="B431" s="106"/>
      <c r="F431" s="106"/>
    </row>
    <row r="432">
      <c r="B432" s="106"/>
      <c r="F432" s="106"/>
    </row>
    <row r="433">
      <c r="B433" s="106"/>
      <c r="F433" s="106"/>
    </row>
    <row r="434">
      <c r="B434" s="106"/>
      <c r="F434" s="106"/>
    </row>
    <row r="435">
      <c r="B435" s="106"/>
      <c r="F435" s="106"/>
    </row>
    <row r="436">
      <c r="B436" s="106"/>
      <c r="F436" s="106"/>
    </row>
    <row r="437">
      <c r="B437" s="106"/>
      <c r="F437" s="106"/>
    </row>
    <row r="438">
      <c r="B438" s="106"/>
      <c r="F438" s="106"/>
    </row>
    <row r="439">
      <c r="B439" s="106"/>
      <c r="F439" s="106"/>
    </row>
    <row r="440">
      <c r="B440" s="106"/>
      <c r="F440" s="106"/>
    </row>
    <row r="441">
      <c r="B441" s="106"/>
      <c r="F441" s="106"/>
    </row>
    <row r="442">
      <c r="B442" s="106"/>
      <c r="F442" s="106"/>
    </row>
    <row r="443">
      <c r="B443" s="106"/>
      <c r="F443" s="106"/>
    </row>
    <row r="444">
      <c r="B444" s="106"/>
      <c r="F444" s="106"/>
    </row>
    <row r="445">
      <c r="B445" s="106"/>
      <c r="F445" s="106"/>
    </row>
    <row r="446">
      <c r="B446" s="106"/>
      <c r="F446" s="106"/>
    </row>
    <row r="447">
      <c r="B447" s="106"/>
      <c r="F447" s="106"/>
    </row>
    <row r="448">
      <c r="B448" s="106"/>
      <c r="F448" s="106"/>
    </row>
    <row r="449">
      <c r="B449" s="106"/>
      <c r="F449" s="106"/>
    </row>
    <row r="450">
      <c r="B450" s="106"/>
      <c r="F450" s="106"/>
    </row>
    <row r="451">
      <c r="B451" s="106"/>
      <c r="F451" s="106"/>
    </row>
    <row r="452">
      <c r="B452" s="106"/>
      <c r="F452" s="106"/>
    </row>
    <row r="453">
      <c r="B453" s="106"/>
      <c r="F453" s="106"/>
    </row>
    <row r="454">
      <c r="B454" s="106"/>
      <c r="F454" s="106"/>
    </row>
    <row r="455">
      <c r="B455" s="106"/>
      <c r="F455" s="106"/>
    </row>
    <row r="456">
      <c r="B456" s="106"/>
      <c r="F456" s="106"/>
    </row>
    <row r="457">
      <c r="B457" s="106"/>
      <c r="F457" s="106"/>
    </row>
    <row r="458">
      <c r="B458" s="106"/>
      <c r="F458" s="106"/>
    </row>
    <row r="459">
      <c r="B459" s="106"/>
      <c r="F459" s="106"/>
    </row>
    <row r="460">
      <c r="B460" s="106"/>
      <c r="F460" s="106"/>
    </row>
    <row r="461">
      <c r="B461" s="106"/>
      <c r="F461" s="106"/>
    </row>
    <row r="462">
      <c r="B462" s="106"/>
      <c r="F462" s="106"/>
    </row>
    <row r="463">
      <c r="B463" s="106"/>
      <c r="F463" s="106"/>
    </row>
    <row r="464">
      <c r="B464" s="106"/>
      <c r="F464" s="106"/>
    </row>
    <row r="465">
      <c r="B465" s="106"/>
      <c r="F465" s="106"/>
    </row>
    <row r="466">
      <c r="B466" s="106"/>
      <c r="F466" s="106"/>
    </row>
    <row r="467">
      <c r="B467" s="106"/>
      <c r="F467" s="106"/>
    </row>
    <row r="468">
      <c r="B468" s="106"/>
      <c r="F468" s="106"/>
    </row>
    <row r="469">
      <c r="B469" s="106"/>
      <c r="F469" s="106"/>
    </row>
    <row r="470">
      <c r="B470" s="106"/>
      <c r="F470" s="106"/>
    </row>
    <row r="471">
      <c r="B471" s="106"/>
      <c r="F471" s="106"/>
    </row>
    <row r="472">
      <c r="B472" s="106"/>
      <c r="F472" s="106"/>
    </row>
    <row r="473">
      <c r="B473" s="106"/>
      <c r="F473" s="106"/>
    </row>
    <row r="474">
      <c r="B474" s="106"/>
      <c r="F474" s="106"/>
    </row>
    <row r="475">
      <c r="B475" s="106"/>
      <c r="F475" s="106"/>
    </row>
    <row r="476">
      <c r="B476" s="106"/>
      <c r="F476" s="106"/>
    </row>
    <row r="477">
      <c r="B477" s="106"/>
      <c r="F477" s="106"/>
    </row>
    <row r="478">
      <c r="B478" s="106"/>
      <c r="F478" s="106"/>
    </row>
    <row r="479">
      <c r="B479" s="106"/>
      <c r="F479" s="106"/>
    </row>
    <row r="480">
      <c r="B480" s="106"/>
      <c r="F480" s="106"/>
    </row>
    <row r="481">
      <c r="B481" s="106"/>
      <c r="F481" s="106"/>
    </row>
    <row r="482">
      <c r="B482" s="106"/>
      <c r="F482" s="106"/>
    </row>
    <row r="483">
      <c r="B483" s="106"/>
      <c r="F483" s="106"/>
    </row>
    <row r="484">
      <c r="B484" s="106"/>
      <c r="F484" s="106"/>
    </row>
    <row r="485">
      <c r="B485" s="106"/>
      <c r="F485" s="106"/>
    </row>
    <row r="486">
      <c r="B486" s="106"/>
      <c r="F486" s="106"/>
    </row>
    <row r="487">
      <c r="B487" s="106"/>
      <c r="F487" s="106"/>
    </row>
    <row r="488">
      <c r="B488" s="106"/>
      <c r="F488" s="106"/>
    </row>
    <row r="489">
      <c r="B489" s="106"/>
      <c r="F489" s="106"/>
    </row>
    <row r="490">
      <c r="B490" s="106"/>
      <c r="F490" s="106"/>
    </row>
    <row r="491">
      <c r="B491" s="106"/>
      <c r="F491" s="106"/>
    </row>
    <row r="492">
      <c r="B492" s="106"/>
      <c r="F492" s="106"/>
    </row>
    <row r="493">
      <c r="B493" s="106"/>
      <c r="F493" s="106"/>
    </row>
    <row r="494">
      <c r="B494" s="106"/>
      <c r="F494" s="106"/>
    </row>
    <row r="495">
      <c r="B495" s="106"/>
      <c r="F495" s="106"/>
    </row>
    <row r="496">
      <c r="B496" s="106"/>
      <c r="F496" s="106"/>
    </row>
    <row r="497">
      <c r="B497" s="106"/>
      <c r="F497" s="106"/>
    </row>
    <row r="498">
      <c r="B498" s="106"/>
      <c r="F498" s="106"/>
    </row>
    <row r="499">
      <c r="B499" s="106"/>
      <c r="F499" s="106"/>
    </row>
    <row r="500">
      <c r="B500" s="106"/>
      <c r="F500" s="106"/>
    </row>
    <row r="501">
      <c r="B501" s="106"/>
      <c r="F501" s="106"/>
    </row>
    <row r="502">
      <c r="B502" s="106"/>
      <c r="F502" s="106"/>
    </row>
    <row r="503">
      <c r="B503" s="106"/>
      <c r="F503" s="106"/>
    </row>
    <row r="504">
      <c r="B504" s="106"/>
      <c r="F504" s="106"/>
    </row>
    <row r="505">
      <c r="B505" s="106"/>
      <c r="F505" s="106"/>
    </row>
    <row r="506">
      <c r="B506" s="106"/>
      <c r="F506" s="106"/>
    </row>
    <row r="507">
      <c r="B507" s="106"/>
      <c r="F507" s="106"/>
    </row>
    <row r="508">
      <c r="B508" s="106"/>
      <c r="F508" s="106"/>
    </row>
    <row r="509">
      <c r="B509" s="106"/>
      <c r="F509" s="106"/>
    </row>
    <row r="510">
      <c r="B510" s="106"/>
      <c r="F510" s="106"/>
    </row>
    <row r="511">
      <c r="B511" s="106"/>
      <c r="F511" s="106"/>
    </row>
    <row r="512">
      <c r="B512" s="106"/>
      <c r="F512" s="106"/>
    </row>
    <row r="513">
      <c r="B513" s="106"/>
      <c r="F513" s="106"/>
    </row>
    <row r="514">
      <c r="B514" s="106"/>
      <c r="F514" s="106"/>
    </row>
    <row r="515">
      <c r="B515" s="106"/>
      <c r="F515" s="106"/>
    </row>
    <row r="516">
      <c r="B516" s="106"/>
      <c r="F516" s="106"/>
    </row>
    <row r="517">
      <c r="B517" s="106"/>
      <c r="F517" s="106"/>
    </row>
    <row r="518">
      <c r="B518" s="106"/>
      <c r="F518" s="106"/>
    </row>
    <row r="519">
      <c r="B519" s="106"/>
      <c r="F519" s="106"/>
    </row>
    <row r="520">
      <c r="B520" s="106"/>
      <c r="F520" s="106"/>
    </row>
    <row r="521">
      <c r="B521" s="106"/>
      <c r="F521" s="106"/>
    </row>
    <row r="522">
      <c r="B522" s="106"/>
      <c r="F522" s="106"/>
    </row>
    <row r="523">
      <c r="B523" s="106"/>
      <c r="F523" s="106"/>
    </row>
    <row r="524">
      <c r="B524" s="106"/>
      <c r="F524" s="106"/>
    </row>
    <row r="525">
      <c r="B525" s="106"/>
      <c r="F525" s="106"/>
    </row>
    <row r="526">
      <c r="B526" s="106"/>
      <c r="F526" s="106"/>
    </row>
    <row r="527">
      <c r="B527" s="106"/>
      <c r="F527" s="106"/>
    </row>
    <row r="528">
      <c r="B528" s="106"/>
      <c r="F528" s="106"/>
    </row>
    <row r="529">
      <c r="B529" s="106"/>
      <c r="F529" s="106"/>
    </row>
    <row r="530">
      <c r="B530" s="106"/>
      <c r="F530" s="106"/>
    </row>
    <row r="531">
      <c r="B531" s="106"/>
      <c r="F531" s="106"/>
    </row>
    <row r="532">
      <c r="B532" s="106"/>
      <c r="F532" s="106"/>
    </row>
    <row r="533">
      <c r="B533" s="106"/>
      <c r="F533" s="106"/>
    </row>
    <row r="534">
      <c r="B534" s="106"/>
      <c r="F534" s="106"/>
    </row>
    <row r="535">
      <c r="B535" s="106"/>
      <c r="F535" s="106"/>
    </row>
    <row r="536">
      <c r="B536" s="106"/>
      <c r="F536" s="106"/>
    </row>
    <row r="537">
      <c r="B537" s="106"/>
      <c r="F537" s="106"/>
    </row>
    <row r="538">
      <c r="B538" s="106"/>
      <c r="F538" s="106"/>
    </row>
    <row r="539">
      <c r="B539" s="106"/>
      <c r="F539" s="106"/>
    </row>
    <row r="540">
      <c r="B540" s="106"/>
      <c r="F540" s="106"/>
    </row>
    <row r="541">
      <c r="B541" s="106"/>
      <c r="F541" s="106"/>
    </row>
    <row r="542">
      <c r="B542" s="106"/>
      <c r="F542" s="106"/>
    </row>
    <row r="543">
      <c r="B543" s="106"/>
      <c r="F543" s="106"/>
    </row>
    <row r="544">
      <c r="B544" s="106"/>
      <c r="F544" s="106"/>
    </row>
    <row r="545">
      <c r="B545" s="106"/>
      <c r="F545" s="106"/>
    </row>
    <row r="546">
      <c r="B546" s="106"/>
      <c r="F546" s="106"/>
    </row>
    <row r="547">
      <c r="B547" s="106"/>
      <c r="F547" s="106"/>
    </row>
    <row r="548">
      <c r="B548" s="106"/>
      <c r="F548" s="106"/>
    </row>
    <row r="549">
      <c r="B549" s="106"/>
      <c r="F549" s="106"/>
    </row>
    <row r="550">
      <c r="B550" s="106"/>
      <c r="F550" s="106"/>
    </row>
    <row r="551">
      <c r="B551" s="106"/>
      <c r="F551" s="106"/>
    </row>
    <row r="552">
      <c r="B552" s="106"/>
      <c r="F552" s="106"/>
    </row>
    <row r="553">
      <c r="B553" s="106"/>
      <c r="F553" s="106"/>
    </row>
    <row r="554">
      <c r="B554" s="106"/>
      <c r="F554" s="106"/>
    </row>
    <row r="555">
      <c r="B555" s="106"/>
      <c r="F555" s="106"/>
    </row>
    <row r="556">
      <c r="B556" s="106"/>
      <c r="F556" s="106"/>
    </row>
    <row r="557">
      <c r="B557" s="106"/>
      <c r="F557" s="106"/>
    </row>
    <row r="558">
      <c r="B558" s="106"/>
      <c r="F558" s="106"/>
    </row>
    <row r="559">
      <c r="B559" s="106"/>
      <c r="F559" s="106"/>
    </row>
    <row r="560">
      <c r="B560" s="106"/>
      <c r="F560" s="106"/>
    </row>
    <row r="561">
      <c r="B561" s="106"/>
      <c r="F561" s="106"/>
    </row>
    <row r="562">
      <c r="B562" s="106"/>
      <c r="F562" s="106"/>
    </row>
    <row r="563">
      <c r="B563" s="106"/>
      <c r="F563" s="106"/>
    </row>
    <row r="564">
      <c r="B564" s="106"/>
      <c r="F564" s="106"/>
    </row>
    <row r="565">
      <c r="B565" s="106"/>
      <c r="F565" s="106"/>
    </row>
    <row r="566">
      <c r="B566" s="106"/>
      <c r="F566" s="106"/>
    </row>
    <row r="567">
      <c r="B567" s="106"/>
      <c r="F567" s="106"/>
    </row>
    <row r="568">
      <c r="B568" s="106"/>
      <c r="F568" s="106"/>
    </row>
    <row r="569">
      <c r="B569" s="106"/>
      <c r="F569" s="106"/>
    </row>
    <row r="570">
      <c r="B570" s="106"/>
      <c r="F570" s="106"/>
    </row>
    <row r="571">
      <c r="B571" s="106"/>
      <c r="F571" s="106"/>
    </row>
    <row r="572">
      <c r="B572" s="106"/>
      <c r="F572" s="106"/>
    </row>
    <row r="573">
      <c r="B573" s="106"/>
      <c r="F573" s="106"/>
    </row>
    <row r="574">
      <c r="B574" s="106"/>
      <c r="F574" s="106"/>
    </row>
    <row r="575">
      <c r="B575" s="106"/>
      <c r="F575" s="106"/>
    </row>
    <row r="576">
      <c r="B576" s="106"/>
      <c r="F576" s="106"/>
    </row>
    <row r="577">
      <c r="B577" s="106"/>
      <c r="F577" s="106"/>
    </row>
    <row r="578">
      <c r="B578" s="106"/>
      <c r="F578" s="106"/>
    </row>
    <row r="579">
      <c r="B579" s="106"/>
      <c r="F579" s="106"/>
    </row>
    <row r="580">
      <c r="B580" s="106"/>
      <c r="F580" s="106"/>
    </row>
    <row r="581">
      <c r="B581" s="106"/>
      <c r="F581" s="106"/>
    </row>
    <row r="582">
      <c r="B582" s="106"/>
      <c r="F582" s="106"/>
    </row>
    <row r="583">
      <c r="B583" s="106"/>
      <c r="F583" s="106"/>
    </row>
    <row r="584">
      <c r="B584" s="106"/>
      <c r="F584" s="106"/>
    </row>
    <row r="585">
      <c r="B585" s="106"/>
      <c r="F585" s="106"/>
    </row>
    <row r="586">
      <c r="B586" s="106"/>
      <c r="F586" s="106"/>
    </row>
    <row r="587">
      <c r="B587" s="106"/>
      <c r="F587" s="106"/>
    </row>
    <row r="588">
      <c r="B588" s="106"/>
      <c r="F588" s="106"/>
    </row>
    <row r="589">
      <c r="B589" s="106"/>
      <c r="F589" s="106"/>
    </row>
    <row r="590">
      <c r="B590" s="106"/>
      <c r="F590" s="106"/>
    </row>
    <row r="591">
      <c r="B591" s="106"/>
      <c r="F591" s="106"/>
    </row>
    <row r="592">
      <c r="B592" s="106"/>
      <c r="F592" s="106"/>
    </row>
    <row r="593">
      <c r="B593" s="106"/>
      <c r="F593" s="106"/>
    </row>
    <row r="594">
      <c r="B594" s="106"/>
      <c r="F594" s="106"/>
    </row>
    <row r="595">
      <c r="B595" s="106"/>
      <c r="F595" s="106"/>
    </row>
    <row r="596">
      <c r="B596" s="106"/>
      <c r="F596" s="106"/>
    </row>
    <row r="597">
      <c r="B597" s="106"/>
      <c r="F597" s="106"/>
    </row>
    <row r="598">
      <c r="B598" s="106"/>
      <c r="F598" s="106"/>
    </row>
    <row r="599">
      <c r="B599" s="106"/>
      <c r="F599" s="106"/>
    </row>
    <row r="600">
      <c r="B600" s="106"/>
      <c r="F600" s="106"/>
    </row>
    <row r="601">
      <c r="B601" s="106"/>
      <c r="F601" s="106"/>
    </row>
    <row r="602">
      <c r="B602" s="106"/>
      <c r="F602" s="106"/>
    </row>
    <row r="603">
      <c r="B603" s="106"/>
      <c r="F603" s="106"/>
    </row>
    <row r="604">
      <c r="B604" s="106"/>
      <c r="F604" s="106"/>
    </row>
    <row r="605">
      <c r="B605" s="106"/>
      <c r="F605" s="106"/>
    </row>
    <row r="606">
      <c r="B606" s="106"/>
      <c r="F606" s="106"/>
    </row>
    <row r="607">
      <c r="B607" s="106"/>
      <c r="F607" s="106"/>
    </row>
    <row r="608">
      <c r="B608" s="106"/>
      <c r="F608" s="106"/>
    </row>
    <row r="609">
      <c r="B609" s="106"/>
      <c r="F609" s="106"/>
    </row>
    <row r="610">
      <c r="B610" s="106"/>
      <c r="F610" s="106"/>
    </row>
    <row r="611">
      <c r="B611" s="106"/>
      <c r="F611" s="106"/>
    </row>
    <row r="612">
      <c r="B612" s="106"/>
      <c r="F612" s="106"/>
    </row>
    <row r="613">
      <c r="B613" s="106"/>
      <c r="F613" s="106"/>
    </row>
    <row r="614">
      <c r="B614" s="106"/>
      <c r="F614" s="106"/>
    </row>
    <row r="615">
      <c r="B615" s="106"/>
      <c r="F615" s="106"/>
    </row>
    <row r="616">
      <c r="B616" s="106"/>
      <c r="F616" s="106"/>
    </row>
    <row r="617">
      <c r="B617" s="106"/>
      <c r="F617" s="106"/>
    </row>
    <row r="618">
      <c r="B618" s="106"/>
      <c r="F618" s="106"/>
    </row>
    <row r="619">
      <c r="B619" s="106"/>
      <c r="F619" s="106"/>
    </row>
    <row r="620">
      <c r="B620" s="106"/>
      <c r="F620" s="106"/>
    </row>
    <row r="621">
      <c r="B621" s="106"/>
      <c r="F621" s="106"/>
    </row>
    <row r="622">
      <c r="B622" s="106"/>
      <c r="F622" s="106"/>
    </row>
    <row r="623">
      <c r="B623" s="106"/>
      <c r="F623" s="106"/>
    </row>
    <row r="624">
      <c r="B624" s="106"/>
      <c r="F624" s="106"/>
    </row>
    <row r="625">
      <c r="B625" s="106"/>
      <c r="F625" s="106"/>
    </row>
    <row r="626">
      <c r="B626" s="106"/>
      <c r="F626" s="106"/>
    </row>
    <row r="627">
      <c r="B627" s="106"/>
      <c r="F627" s="106"/>
    </row>
    <row r="628">
      <c r="B628" s="106"/>
      <c r="F628" s="106"/>
    </row>
    <row r="629">
      <c r="B629" s="106"/>
      <c r="F629" s="106"/>
    </row>
    <row r="630">
      <c r="B630" s="106"/>
      <c r="F630" s="106"/>
    </row>
    <row r="631">
      <c r="B631" s="106"/>
      <c r="F631" s="106"/>
    </row>
    <row r="632">
      <c r="B632" s="106"/>
      <c r="F632" s="106"/>
    </row>
    <row r="633">
      <c r="B633" s="106"/>
      <c r="F633" s="106"/>
    </row>
    <row r="634">
      <c r="B634" s="106"/>
      <c r="F634" s="106"/>
    </row>
    <row r="635">
      <c r="B635" s="106"/>
      <c r="F635" s="106"/>
    </row>
    <row r="636">
      <c r="B636" s="106"/>
      <c r="F636" s="106"/>
    </row>
    <row r="637">
      <c r="B637" s="106"/>
      <c r="F637" s="106"/>
    </row>
    <row r="638">
      <c r="B638" s="106"/>
      <c r="F638" s="106"/>
    </row>
    <row r="639">
      <c r="B639" s="106"/>
      <c r="F639" s="106"/>
    </row>
    <row r="640">
      <c r="B640" s="106"/>
      <c r="F640" s="106"/>
    </row>
    <row r="641">
      <c r="B641" s="106"/>
      <c r="F641" s="106"/>
    </row>
    <row r="642">
      <c r="B642" s="106"/>
      <c r="F642" s="106"/>
    </row>
    <row r="643">
      <c r="B643" s="106"/>
      <c r="F643" s="106"/>
    </row>
    <row r="644">
      <c r="B644" s="106"/>
      <c r="F644" s="106"/>
    </row>
    <row r="645">
      <c r="B645" s="106"/>
      <c r="F645" s="106"/>
    </row>
    <row r="646">
      <c r="B646" s="106"/>
      <c r="F646" s="106"/>
    </row>
    <row r="647">
      <c r="B647" s="106"/>
      <c r="F647" s="106"/>
    </row>
    <row r="648">
      <c r="B648" s="106"/>
      <c r="F648" s="106"/>
    </row>
    <row r="649">
      <c r="B649" s="106"/>
      <c r="F649" s="106"/>
    </row>
    <row r="650">
      <c r="B650" s="106"/>
      <c r="F650" s="106"/>
    </row>
    <row r="651">
      <c r="B651" s="106"/>
      <c r="F651" s="106"/>
    </row>
    <row r="652">
      <c r="B652" s="106"/>
      <c r="F652" s="106"/>
    </row>
    <row r="653">
      <c r="B653" s="106"/>
      <c r="F653" s="106"/>
    </row>
    <row r="654">
      <c r="B654" s="106"/>
      <c r="F654" s="106"/>
    </row>
    <row r="655">
      <c r="B655" s="106"/>
      <c r="F655" s="106"/>
    </row>
    <row r="656">
      <c r="B656" s="106"/>
      <c r="F656" s="106"/>
    </row>
    <row r="657">
      <c r="B657" s="106"/>
      <c r="F657" s="106"/>
    </row>
    <row r="658">
      <c r="B658" s="106"/>
      <c r="F658" s="106"/>
    </row>
    <row r="659">
      <c r="B659" s="106"/>
      <c r="F659" s="106"/>
    </row>
    <row r="660">
      <c r="B660" s="106"/>
      <c r="F660" s="106"/>
    </row>
    <row r="661">
      <c r="B661" s="106"/>
      <c r="F661" s="106"/>
    </row>
    <row r="662">
      <c r="B662" s="106"/>
      <c r="F662" s="106"/>
    </row>
    <row r="663">
      <c r="B663" s="106"/>
      <c r="F663" s="106"/>
    </row>
    <row r="664">
      <c r="B664" s="106"/>
      <c r="F664" s="106"/>
    </row>
    <row r="665">
      <c r="B665" s="106"/>
      <c r="F665" s="106"/>
    </row>
    <row r="666">
      <c r="B666" s="106"/>
      <c r="F666" s="106"/>
    </row>
    <row r="667">
      <c r="B667" s="106"/>
      <c r="F667" s="106"/>
    </row>
    <row r="668">
      <c r="B668" s="106"/>
      <c r="F668" s="106"/>
    </row>
    <row r="669">
      <c r="B669" s="106"/>
      <c r="F669" s="106"/>
    </row>
    <row r="670">
      <c r="B670" s="106"/>
      <c r="F670" s="106"/>
    </row>
    <row r="671">
      <c r="B671" s="106"/>
      <c r="F671" s="106"/>
    </row>
    <row r="672">
      <c r="B672" s="106"/>
      <c r="F672" s="106"/>
    </row>
    <row r="673">
      <c r="B673" s="106"/>
      <c r="F673" s="106"/>
    </row>
    <row r="674">
      <c r="B674" s="106"/>
      <c r="F674" s="106"/>
    </row>
    <row r="675">
      <c r="B675" s="106"/>
      <c r="F675" s="106"/>
    </row>
    <row r="676">
      <c r="B676" s="106"/>
      <c r="F676" s="106"/>
    </row>
    <row r="677">
      <c r="B677" s="106"/>
      <c r="F677" s="106"/>
    </row>
    <row r="678">
      <c r="B678" s="106"/>
      <c r="F678" s="106"/>
    </row>
    <row r="679">
      <c r="B679" s="106"/>
      <c r="F679" s="106"/>
    </row>
    <row r="680">
      <c r="B680" s="106"/>
      <c r="F680" s="106"/>
    </row>
    <row r="681">
      <c r="B681" s="106"/>
      <c r="F681" s="106"/>
    </row>
    <row r="682">
      <c r="B682" s="106"/>
      <c r="F682" s="106"/>
    </row>
    <row r="683">
      <c r="B683" s="106"/>
      <c r="F683" s="106"/>
    </row>
    <row r="684">
      <c r="B684" s="106"/>
      <c r="F684" s="106"/>
    </row>
    <row r="685">
      <c r="B685" s="106"/>
      <c r="F685" s="106"/>
    </row>
    <row r="686">
      <c r="B686" s="106"/>
      <c r="F686" s="106"/>
    </row>
    <row r="687">
      <c r="B687" s="106"/>
      <c r="F687" s="106"/>
    </row>
    <row r="688">
      <c r="B688" s="106"/>
      <c r="F688" s="106"/>
    </row>
    <row r="689">
      <c r="B689" s="106"/>
      <c r="F689" s="106"/>
    </row>
    <row r="690">
      <c r="B690" s="106"/>
      <c r="F690" s="106"/>
    </row>
    <row r="691">
      <c r="B691" s="106"/>
      <c r="F691" s="106"/>
    </row>
    <row r="692">
      <c r="B692" s="106"/>
      <c r="F692" s="106"/>
    </row>
    <row r="693">
      <c r="B693" s="106"/>
      <c r="F693" s="106"/>
    </row>
    <row r="694">
      <c r="B694" s="106"/>
      <c r="F694" s="106"/>
    </row>
    <row r="695">
      <c r="B695" s="106"/>
      <c r="F695" s="106"/>
    </row>
    <row r="696">
      <c r="B696" s="106"/>
      <c r="F696" s="106"/>
    </row>
    <row r="697">
      <c r="B697" s="106"/>
      <c r="F697" s="106"/>
    </row>
    <row r="698">
      <c r="B698" s="106"/>
      <c r="F698" s="106"/>
    </row>
    <row r="699">
      <c r="B699" s="106"/>
      <c r="F699" s="106"/>
    </row>
    <row r="700">
      <c r="B700" s="106"/>
      <c r="F700" s="106"/>
    </row>
    <row r="701">
      <c r="B701" s="106"/>
      <c r="F701" s="106"/>
    </row>
    <row r="702">
      <c r="B702" s="106"/>
      <c r="F702" s="106"/>
    </row>
    <row r="703">
      <c r="B703" s="106"/>
      <c r="F703" s="106"/>
    </row>
    <row r="704">
      <c r="B704" s="106"/>
      <c r="F704" s="106"/>
    </row>
    <row r="705">
      <c r="B705" s="106"/>
      <c r="F705" s="106"/>
    </row>
    <row r="706">
      <c r="B706" s="106"/>
      <c r="F706" s="106"/>
    </row>
    <row r="707">
      <c r="B707" s="106"/>
      <c r="F707" s="106"/>
    </row>
    <row r="708">
      <c r="B708" s="106"/>
      <c r="F708" s="106"/>
    </row>
    <row r="709">
      <c r="B709" s="106"/>
      <c r="F709" s="106"/>
    </row>
    <row r="710">
      <c r="B710" s="106"/>
      <c r="F710" s="106"/>
    </row>
    <row r="711">
      <c r="B711" s="106"/>
      <c r="F711" s="106"/>
    </row>
    <row r="712">
      <c r="B712" s="106"/>
      <c r="F712" s="106"/>
    </row>
    <row r="713">
      <c r="B713" s="106"/>
      <c r="F713" s="106"/>
    </row>
    <row r="714">
      <c r="B714" s="106"/>
      <c r="F714" s="106"/>
    </row>
    <row r="715">
      <c r="B715" s="106"/>
      <c r="F715" s="106"/>
    </row>
    <row r="716">
      <c r="B716" s="106"/>
      <c r="F716" s="106"/>
    </row>
    <row r="717">
      <c r="B717" s="106"/>
      <c r="F717" s="106"/>
    </row>
    <row r="718">
      <c r="B718" s="106"/>
      <c r="F718" s="106"/>
    </row>
    <row r="719">
      <c r="B719" s="106"/>
      <c r="F719" s="106"/>
    </row>
    <row r="720">
      <c r="B720" s="106"/>
      <c r="F720" s="106"/>
    </row>
    <row r="721">
      <c r="B721" s="106"/>
      <c r="F721" s="106"/>
    </row>
    <row r="722">
      <c r="B722" s="106"/>
      <c r="F722" s="106"/>
    </row>
    <row r="723">
      <c r="B723" s="106"/>
      <c r="F723" s="106"/>
    </row>
    <row r="724">
      <c r="B724" s="106"/>
      <c r="F724" s="106"/>
    </row>
    <row r="725">
      <c r="B725" s="106"/>
      <c r="F725" s="106"/>
    </row>
    <row r="726">
      <c r="B726" s="106"/>
      <c r="F726" s="106"/>
    </row>
    <row r="727">
      <c r="B727" s="106"/>
      <c r="F727" s="106"/>
    </row>
    <row r="728">
      <c r="B728" s="106"/>
      <c r="F728" s="106"/>
    </row>
    <row r="729">
      <c r="B729" s="106"/>
      <c r="F729" s="106"/>
    </row>
    <row r="730">
      <c r="B730" s="106"/>
      <c r="F730" s="106"/>
    </row>
    <row r="731">
      <c r="B731" s="106"/>
      <c r="F731" s="106"/>
    </row>
    <row r="732">
      <c r="B732" s="106"/>
      <c r="F732" s="106"/>
    </row>
    <row r="733">
      <c r="B733" s="106"/>
      <c r="F733" s="106"/>
    </row>
    <row r="734">
      <c r="B734" s="106"/>
      <c r="F734" s="106"/>
    </row>
    <row r="735">
      <c r="B735" s="106"/>
      <c r="F735" s="106"/>
    </row>
    <row r="736">
      <c r="B736" s="106"/>
      <c r="F736" s="106"/>
    </row>
    <row r="737">
      <c r="B737" s="106"/>
      <c r="F737" s="106"/>
    </row>
    <row r="738">
      <c r="B738" s="106"/>
      <c r="F738" s="106"/>
    </row>
    <row r="739">
      <c r="B739" s="106"/>
      <c r="F739" s="106"/>
    </row>
    <row r="740">
      <c r="B740" s="106"/>
      <c r="F740" s="106"/>
    </row>
    <row r="741">
      <c r="B741" s="106"/>
      <c r="F741" s="106"/>
    </row>
    <row r="742">
      <c r="B742" s="106"/>
      <c r="F742" s="106"/>
    </row>
    <row r="743">
      <c r="B743" s="106"/>
      <c r="F743" s="106"/>
    </row>
    <row r="744">
      <c r="B744" s="106"/>
      <c r="F744" s="106"/>
    </row>
    <row r="745">
      <c r="B745" s="106"/>
      <c r="F745" s="106"/>
    </row>
    <row r="746">
      <c r="B746" s="106"/>
      <c r="F746" s="106"/>
    </row>
    <row r="747">
      <c r="B747" s="106"/>
      <c r="F747" s="106"/>
    </row>
    <row r="748">
      <c r="B748" s="106"/>
      <c r="F748" s="106"/>
    </row>
    <row r="749">
      <c r="B749" s="106"/>
      <c r="F749" s="106"/>
    </row>
    <row r="750">
      <c r="B750" s="106"/>
      <c r="F750" s="106"/>
    </row>
    <row r="751">
      <c r="B751" s="106"/>
      <c r="F751" s="106"/>
    </row>
    <row r="752">
      <c r="B752" s="106"/>
      <c r="F752" s="106"/>
    </row>
    <row r="753">
      <c r="B753" s="106"/>
      <c r="F753" s="106"/>
    </row>
    <row r="754">
      <c r="B754" s="106"/>
      <c r="F754" s="106"/>
    </row>
    <row r="755">
      <c r="B755" s="106"/>
      <c r="F755" s="106"/>
    </row>
    <row r="756">
      <c r="B756" s="106"/>
      <c r="F756" s="106"/>
    </row>
    <row r="757">
      <c r="B757" s="106"/>
      <c r="F757" s="106"/>
    </row>
    <row r="758">
      <c r="B758" s="106"/>
      <c r="F758" s="106"/>
    </row>
    <row r="759">
      <c r="B759" s="106"/>
      <c r="F759" s="106"/>
    </row>
    <row r="760">
      <c r="B760" s="106"/>
      <c r="F760" s="106"/>
    </row>
    <row r="761">
      <c r="B761" s="106"/>
      <c r="F761" s="106"/>
    </row>
    <row r="762">
      <c r="B762" s="106"/>
      <c r="F762" s="106"/>
    </row>
    <row r="763">
      <c r="B763" s="106"/>
      <c r="F763" s="106"/>
    </row>
    <row r="764">
      <c r="B764" s="106"/>
      <c r="F764" s="106"/>
    </row>
    <row r="765">
      <c r="B765" s="106"/>
      <c r="F765" s="106"/>
    </row>
    <row r="766">
      <c r="B766" s="106"/>
      <c r="F766" s="106"/>
    </row>
    <row r="767">
      <c r="B767" s="106"/>
      <c r="F767" s="106"/>
    </row>
    <row r="768">
      <c r="B768" s="106"/>
      <c r="F768" s="106"/>
    </row>
    <row r="769">
      <c r="B769" s="106"/>
      <c r="F769" s="106"/>
    </row>
    <row r="770">
      <c r="B770" s="106"/>
      <c r="F770" s="106"/>
    </row>
    <row r="771">
      <c r="B771" s="106"/>
      <c r="F771" s="106"/>
    </row>
    <row r="772">
      <c r="B772" s="106"/>
      <c r="F772" s="106"/>
    </row>
    <row r="773">
      <c r="B773" s="106"/>
      <c r="F773" s="106"/>
    </row>
    <row r="774">
      <c r="B774" s="106"/>
      <c r="F774" s="106"/>
    </row>
    <row r="775">
      <c r="B775" s="106"/>
      <c r="F775" s="106"/>
    </row>
    <row r="776">
      <c r="B776" s="106"/>
      <c r="F776" s="106"/>
    </row>
    <row r="777">
      <c r="B777" s="106"/>
      <c r="F777" s="106"/>
    </row>
    <row r="778">
      <c r="B778" s="106"/>
      <c r="F778" s="106"/>
    </row>
    <row r="779">
      <c r="B779" s="106"/>
      <c r="F779" s="106"/>
    </row>
    <row r="780">
      <c r="B780" s="106"/>
      <c r="F780" s="106"/>
    </row>
    <row r="781">
      <c r="B781" s="106"/>
      <c r="F781" s="106"/>
    </row>
    <row r="782">
      <c r="B782" s="106"/>
      <c r="F782" s="106"/>
    </row>
    <row r="783">
      <c r="B783" s="106"/>
      <c r="F783" s="106"/>
    </row>
    <row r="784">
      <c r="B784" s="106"/>
      <c r="F784" s="106"/>
    </row>
    <row r="785">
      <c r="B785" s="106"/>
      <c r="F785" s="106"/>
    </row>
    <row r="786">
      <c r="B786" s="106"/>
      <c r="F786" s="106"/>
    </row>
    <row r="787">
      <c r="B787" s="106"/>
      <c r="F787" s="106"/>
    </row>
    <row r="788">
      <c r="B788" s="106"/>
      <c r="F788" s="106"/>
    </row>
    <row r="789">
      <c r="B789" s="106"/>
      <c r="F789" s="106"/>
    </row>
    <row r="790">
      <c r="B790" s="106"/>
      <c r="F790" s="106"/>
    </row>
    <row r="791">
      <c r="B791" s="106"/>
      <c r="F791" s="106"/>
    </row>
    <row r="792">
      <c r="B792" s="106"/>
      <c r="F792" s="106"/>
    </row>
    <row r="793">
      <c r="B793" s="106"/>
      <c r="F793" s="106"/>
    </row>
    <row r="794">
      <c r="B794" s="106"/>
      <c r="F794" s="106"/>
    </row>
    <row r="795">
      <c r="B795" s="106"/>
      <c r="F795" s="106"/>
    </row>
    <row r="796">
      <c r="B796" s="106"/>
      <c r="F796" s="106"/>
    </row>
    <row r="797">
      <c r="B797" s="106"/>
      <c r="F797" s="106"/>
    </row>
    <row r="798">
      <c r="B798" s="106"/>
      <c r="F798" s="106"/>
    </row>
    <row r="799">
      <c r="B799" s="106"/>
      <c r="F799" s="106"/>
    </row>
    <row r="800">
      <c r="B800" s="106"/>
      <c r="F800" s="106"/>
    </row>
    <row r="801">
      <c r="B801" s="106"/>
      <c r="F801" s="106"/>
    </row>
    <row r="802">
      <c r="B802" s="106"/>
      <c r="F802" s="106"/>
    </row>
    <row r="803">
      <c r="B803" s="106"/>
      <c r="F803" s="106"/>
    </row>
    <row r="804">
      <c r="B804" s="106"/>
      <c r="F804" s="106"/>
    </row>
    <row r="805">
      <c r="B805" s="106"/>
      <c r="F805" s="106"/>
    </row>
    <row r="806">
      <c r="B806" s="106"/>
      <c r="F806" s="106"/>
    </row>
    <row r="807">
      <c r="B807" s="106"/>
      <c r="F807" s="106"/>
    </row>
    <row r="808">
      <c r="B808" s="106"/>
      <c r="F808" s="106"/>
    </row>
    <row r="809">
      <c r="B809" s="106"/>
      <c r="F809" s="106"/>
    </row>
    <row r="810">
      <c r="B810" s="106"/>
      <c r="F810" s="106"/>
    </row>
    <row r="811">
      <c r="B811" s="106"/>
      <c r="F811" s="106"/>
    </row>
    <row r="812">
      <c r="B812" s="106"/>
      <c r="F812" s="106"/>
    </row>
    <row r="813">
      <c r="B813" s="106"/>
      <c r="F813" s="106"/>
    </row>
    <row r="814">
      <c r="B814" s="106"/>
      <c r="F814" s="106"/>
    </row>
    <row r="815">
      <c r="B815" s="106"/>
      <c r="F815" s="106"/>
    </row>
    <row r="816">
      <c r="B816" s="106"/>
      <c r="F816" s="106"/>
    </row>
    <row r="817">
      <c r="B817" s="106"/>
      <c r="F817" s="106"/>
    </row>
    <row r="818">
      <c r="B818" s="106"/>
      <c r="F818" s="106"/>
    </row>
    <row r="819">
      <c r="B819" s="106"/>
      <c r="F819" s="106"/>
    </row>
    <row r="820">
      <c r="B820" s="106"/>
      <c r="F820" s="106"/>
    </row>
    <row r="821">
      <c r="B821" s="106"/>
      <c r="F821" s="106"/>
    </row>
    <row r="822">
      <c r="B822" s="106"/>
      <c r="F822" s="106"/>
    </row>
    <row r="823">
      <c r="B823" s="106"/>
      <c r="F823" s="106"/>
    </row>
    <row r="824">
      <c r="B824" s="106"/>
      <c r="F824" s="106"/>
    </row>
    <row r="825">
      <c r="B825" s="106"/>
      <c r="F825" s="106"/>
    </row>
    <row r="826">
      <c r="B826" s="106"/>
      <c r="F826" s="106"/>
    </row>
    <row r="827">
      <c r="B827" s="106"/>
      <c r="F827" s="106"/>
    </row>
    <row r="828">
      <c r="B828" s="106"/>
      <c r="F828" s="106"/>
    </row>
    <row r="829">
      <c r="B829" s="106"/>
      <c r="F829" s="106"/>
    </row>
    <row r="830">
      <c r="B830" s="106"/>
      <c r="F830" s="106"/>
    </row>
    <row r="831">
      <c r="B831" s="106"/>
      <c r="F831" s="106"/>
    </row>
    <row r="832">
      <c r="B832" s="106"/>
      <c r="F832" s="106"/>
    </row>
    <row r="833">
      <c r="B833" s="106"/>
      <c r="F833" s="106"/>
    </row>
    <row r="834">
      <c r="B834" s="106"/>
      <c r="F834" s="106"/>
    </row>
    <row r="835">
      <c r="B835" s="106"/>
      <c r="F835" s="106"/>
    </row>
    <row r="836">
      <c r="B836" s="106"/>
      <c r="F836" s="106"/>
    </row>
    <row r="837">
      <c r="B837" s="106"/>
      <c r="F837" s="106"/>
    </row>
    <row r="838">
      <c r="B838" s="106"/>
      <c r="F838" s="106"/>
    </row>
    <row r="839">
      <c r="B839" s="106"/>
      <c r="F839" s="106"/>
    </row>
    <row r="840">
      <c r="B840" s="106"/>
      <c r="F840" s="106"/>
    </row>
    <row r="841">
      <c r="B841" s="106"/>
      <c r="F841" s="106"/>
    </row>
    <row r="842">
      <c r="B842" s="106"/>
      <c r="F842" s="106"/>
    </row>
    <row r="843">
      <c r="B843" s="106"/>
      <c r="F843" s="106"/>
    </row>
    <row r="844">
      <c r="B844" s="106"/>
      <c r="F844" s="106"/>
    </row>
    <row r="845">
      <c r="B845" s="106"/>
      <c r="F845" s="106"/>
    </row>
    <row r="846">
      <c r="B846" s="106"/>
      <c r="F846" s="106"/>
    </row>
    <row r="847">
      <c r="B847" s="106"/>
      <c r="F847" s="106"/>
    </row>
    <row r="848">
      <c r="B848" s="106"/>
      <c r="F848" s="106"/>
    </row>
    <row r="849">
      <c r="B849" s="106"/>
      <c r="F849" s="106"/>
    </row>
    <row r="850">
      <c r="B850" s="106"/>
      <c r="F850" s="106"/>
    </row>
    <row r="851">
      <c r="B851" s="106"/>
      <c r="F851" s="106"/>
    </row>
    <row r="852">
      <c r="B852" s="106"/>
      <c r="F852" s="106"/>
    </row>
    <row r="853">
      <c r="B853" s="106"/>
      <c r="F853" s="106"/>
    </row>
    <row r="854">
      <c r="B854" s="106"/>
      <c r="F854" s="106"/>
    </row>
    <row r="855">
      <c r="B855" s="106"/>
      <c r="F855" s="106"/>
    </row>
    <row r="856">
      <c r="B856" s="106"/>
      <c r="F856" s="106"/>
    </row>
    <row r="857">
      <c r="B857" s="106"/>
      <c r="F857" s="106"/>
    </row>
    <row r="858">
      <c r="B858" s="106"/>
      <c r="F858" s="106"/>
    </row>
    <row r="859">
      <c r="B859" s="106"/>
      <c r="F859" s="106"/>
    </row>
    <row r="860">
      <c r="B860" s="106"/>
      <c r="F860" s="106"/>
    </row>
    <row r="861">
      <c r="B861" s="106"/>
      <c r="F861" s="106"/>
    </row>
    <row r="862">
      <c r="B862" s="106"/>
      <c r="F862" s="106"/>
    </row>
    <row r="863">
      <c r="B863" s="106"/>
      <c r="F863" s="106"/>
    </row>
    <row r="864">
      <c r="B864" s="106"/>
      <c r="F864" s="106"/>
    </row>
    <row r="865">
      <c r="B865" s="106"/>
      <c r="F865" s="106"/>
    </row>
    <row r="866">
      <c r="B866" s="106"/>
      <c r="F866" s="106"/>
    </row>
    <row r="867">
      <c r="B867" s="106"/>
      <c r="F867" s="106"/>
    </row>
    <row r="868">
      <c r="B868" s="106"/>
      <c r="F868" s="106"/>
    </row>
    <row r="869">
      <c r="B869" s="106"/>
      <c r="F869" s="106"/>
    </row>
    <row r="870">
      <c r="B870" s="106"/>
      <c r="F870" s="106"/>
    </row>
    <row r="871">
      <c r="B871" s="106"/>
      <c r="F871" s="106"/>
    </row>
    <row r="872">
      <c r="B872" s="106"/>
      <c r="F872" s="106"/>
    </row>
    <row r="873">
      <c r="B873" s="106"/>
      <c r="F873" s="106"/>
    </row>
    <row r="874">
      <c r="B874" s="106"/>
      <c r="F874" s="106"/>
    </row>
    <row r="875">
      <c r="B875" s="106"/>
      <c r="F875" s="106"/>
    </row>
    <row r="876">
      <c r="B876" s="106"/>
      <c r="F876" s="106"/>
    </row>
    <row r="877">
      <c r="B877" s="106"/>
      <c r="F877" s="106"/>
    </row>
    <row r="878">
      <c r="B878" s="106"/>
      <c r="F878" s="106"/>
    </row>
    <row r="879">
      <c r="B879" s="106"/>
      <c r="F879" s="106"/>
    </row>
    <row r="880">
      <c r="B880" s="106"/>
      <c r="F880" s="106"/>
    </row>
    <row r="881">
      <c r="B881" s="106"/>
      <c r="F881" s="106"/>
    </row>
    <row r="882">
      <c r="B882" s="106"/>
      <c r="F882" s="106"/>
    </row>
    <row r="883">
      <c r="B883" s="106"/>
      <c r="F883" s="106"/>
    </row>
    <row r="884">
      <c r="B884" s="106"/>
      <c r="F884" s="106"/>
    </row>
    <row r="885">
      <c r="B885" s="106"/>
      <c r="F885" s="106"/>
    </row>
    <row r="886">
      <c r="B886" s="106"/>
      <c r="F886" s="106"/>
    </row>
    <row r="887">
      <c r="B887" s="106"/>
      <c r="F887" s="106"/>
    </row>
    <row r="888">
      <c r="B888" s="106"/>
      <c r="F888" s="106"/>
    </row>
    <row r="889">
      <c r="B889" s="106"/>
      <c r="F889" s="106"/>
    </row>
    <row r="890">
      <c r="B890" s="106"/>
      <c r="F890" s="106"/>
    </row>
    <row r="891">
      <c r="B891" s="106"/>
      <c r="F891" s="106"/>
    </row>
    <row r="892">
      <c r="B892" s="106"/>
      <c r="F892" s="106"/>
    </row>
    <row r="893">
      <c r="B893" s="106"/>
      <c r="F893" s="106"/>
    </row>
    <row r="894">
      <c r="B894" s="106"/>
      <c r="F894" s="106"/>
    </row>
    <row r="895">
      <c r="B895" s="106"/>
      <c r="F895" s="106"/>
    </row>
    <row r="896">
      <c r="B896" s="106"/>
      <c r="F896" s="106"/>
    </row>
    <row r="897">
      <c r="B897" s="106"/>
      <c r="F897" s="106"/>
    </row>
    <row r="898">
      <c r="B898" s="106"/>
      <c r="F898" s="106"/>
    </row>
    <row r="899">
      <c r="B899" s="106"/>
      <c r="F899" s="106"/>
    </row>
    <row r="900">
      <c r="B900" s="106"/>
      <c r="F900" s="106"/>
    </row>
    <row r="901">
      <c r="B901" s="106"/>
      <c r="F901" s="106"/>
    </row>
    <row r="902">
      <c r="B902" s="106"/>
      <c r="F902" s="106"/>
    </row>
    <row r="903">
      <c r="B903" s="106"/>
      <c r="F903" s="106"/>
    </row>
    <row r="904">
      <c r="B904" s="106"/>
      <c r="F904" s="106"/>
    </row>
    <row r="905">
      <c r="B905" s="106"/>
      <c r="F905" s="106"/>
    </row>
    <row r="906">
      <c r="B906" s="106"/>
      <c r="F906" s="106"/>
    </row>
    <row r="907">
      <c r="B907" s="106"/>
      <c r="F907" s="106"/>
    </row>
    <row r="908">
      <c r="B908" s="106"/>
      <c r="F908" s="106"/>
    </row>
    <row r="909">
      <c r="B909" s="106"/>
      <c r="F909" s="106"/>
    </row>
    <row r="910">
      <c r="B910" s="106"/>
      <c r="F910" s="106"/>
    </row>
    <row r="911">
      <c r="B911" s="106"/>
      <c r="F911" s="106"/>
    </row>
    <row r="912">
      <c r="B912" s="106"/>
      <c r="F912" s="106"/>
    </row>
    <row r="913">
      <c r="B913" s="106"/>
      <c r="F913" s="106"/>
    </row>
    <row r="914">
      <c r="B914" s="106"/>
      <c r="F914" s="106"/>
    </row>
    <row r="915">
      <c r="B915" s="106"/>
      <c r="F915" s="106"/>
    </row>
    <row r="916">
      <c r="B916" s="106"/>
      <c r="F916" s="106"/>
    </row>
    <row r="917">
      <c r="B917" s="106"/>
      <c r="F917" s="106"/>
    </row>
    <row r="918">
      <c r="B918" s="106"/>
      <c r="F918" s="106"/>
    </row>
    <row r="919">
      <c r="B919" s="106"/>
      <c r="F919" s="106"/>
    </row>
    <row r="920">
      <c r="B920" s="106"/>
      <c r="F920" s="106"/>
    </row>
    <row r="921">
      <c r="B921" s="106"/>
      <c r="F921" s="106"/>
    </row>
    <row r="922">
      <c r="B922" s="106"/>
      <c r="F922" s="106"/>
    </row>
    <row r="923">
      <c r="B923" s="106"/>
      <c r="F923" s="106"/>
    </row>
    <row r="924">
      <c r="B924" s="106"/>
      <c r="F924" s="106"/>
    </row>
    <row r="925">
      <c r="B925" s="106"/>
      <c r="F925" s="106"/>
    </row>
    <row r="926">
      <c r="B926" s="106"/>
      <c r="F926" s="106"/>
    </row>
    <row r="927">
      <c r="B927" s="106"/>
      <c r="F927" s="106"/>
    </row>
    <row r="928">
      <c r="B928" s="106"/>
      <c r="F928" s="106"/>
    </row>
    <row r="929">
      <c r="B929" s="106"/>
      <c r="F929" s="106"/>
    </row>
    <row r="930">
      <c r="B930" s="106"/>
      <c r="F930" s="106"/>
    </row>
    <row r="931">
      <c r="B931" s="106"/>
      <c r="F931" s="106"/>
    </row>
    <row r="932">
      <c r="B932" s="106"/>
      <c r="F932" s="106"/>
    </row>
    <row r="933">
      <c r="B933" s="106"/>
      <c r="F933" s="106"/>
    </row>
    <row r="934">
      <c r="B934" s="106"/>
      <c r="F934" s="106"/>
    </row>
    <row r="935">
      <c r="B935" s="106"/>
      <c r="F935" s="106"/>
    </row>
    <row r="936">
      <c r="B936" s="106"/>
      <c r="F936" s="106"/>
    </row>
    <row r="937">
      <c r="B937" s="106"/>
      <c r="F937" s="106"/>
    </row>
    <row r="938">
      <c r="B938" s="106"/>
      <c r="F938" s="106"/>
    </row>
    <row r="939">
      <c r="B939" s="106"/>
      <c r="F939" s="106"/>
    </row>
    <row r="940">
      <c r="B940" s="106"/>
      <c r="F940" s="106"/>
    </row>
    <row r="941">
      <c r="B941" s="106"/>
      <c r="F941" s="106"/>
    </row>
    <row r="942">
      <c r="B942" s="106"/>
      <c r="F942" s="106"/>
    </row>
    <row r="943">
      <c r="B943" s="106"/>
      <c r="F943" s="106"/>
    </row>
    <row r="944">
      <c r="B944" s="106"/>
      <c r="F944" s="106"/>
    </row>
    <row r="945">
      <c r="B945" s="106"/>
      <c r="F945" s="106"/>
    </row>
    <row r="946">
      <c r="B946" s="106"/>
      <c r="F946" s="106"/>
    </row>
    <row r="947">
      <c r="B947" s="106"/>
      <c r="F947" s="106"/>
    </row>
    <row r="948">
      <c r="B948" s="106"/>
      <c r="F948" s="106"/>
    </row>
    <row r="949">
      <c r="B949" s="106"/>
      <c r="F949" s="106"/>
    </row>
    <row r="950">
      <c r="B950" s="106"/>
      <c r="F950" s="106"/>
    </row>
    <row r="951">
      <c r="B951" s="106"/>
      <c r="F951" s="106"/>
    </row>
    <row r="952">
      <c r="B952" s="106"/>
      <c r="F952" s="106"/>
    </row>
    <row r="953">
      <c r="B953" s="106"/>
      <c r="F953" s="106"/>
    </row>
    <row r="954">
      <c r="B954" s="106"/>
      <c r="F954" s="106"/>
    </row>
    <row r="955">
      <c r="B955" s="106"/>
      <c r="F955" s="106"/>
    </row>
    <row r="956">
      <c r="B956" s="106"/>
      <c r="F956" s="106"/>
    </row>
    <row r="957">
      <c r="B957" s="106"/>
      <c r="F957" s="106"/>
    </row>
    <row r="958">
      <c r="B958" s="106"/>
      <c r="F958" s="106"/>
    </row>
    <row r="959">
      <c r="B959" s="106"/>
      <c r="F959" s="106"/>
    </row>
    <row r="960">
      <c r="B960" s="106"/>
      <c r="F960" s="106"/>
    </row>
    <row r="961">
      <c r="B961" s="106"/>
      <c r="F961" s="106"/>
    </row>
    <row r="962">
      <c r="B962" s="106"/>
      <c r="F962" s="106"/>
    </row>
    <row r="963">
      <c r="B963" s="106"/>
      <c r="F963" s="106"/>
    </row>
    <row r="964">
      <c r="B964" s="106"/>
      <c r="F964" s="106"/>
    </row>
    <row r="965">
      <c r="B965" s="106"/>
      <c r="F965" s="106"/>
    </row>
    <row r="966">
      <c r="B966" s="106"/>
      <c r="F966" s="106"/>
    </row>
    <row r="967">
      <c r="B967" s="106"/>
      <c r="F967" s="106"/>
    </row>
    <row r="968">
      <c r="B968" s="106"/>
      <c r="F968" s="106"/>
    </row>
    <row r="969">
      <c r="B969" s="106"/>
      <c r="F969" s="106"/>
    </row>
    <row r="970">
      <c r="B970" s="106"/>
      <c r="F970" s="106"/>
    </row>
    <row r="971">
      <c r="B971" s="106"/>
      <c r="F971" s="106"/>
    </row>
    <row r="972">
      <c r="B972" s="106"/>
      <c r="F972" s="106"/>
    </row>
    <row r="973">
      <c r="B973" s="106"/>
      <c r="F973" s="106"/>
    </row>
    <row r="974">
      <c r="B974" s="106"/>
      <c r="F974" s="106"/>
    </row>
    <row r="975">
      <c r="B975" s="106"/>
      <c r="F975" s="106"/>
    </row>
    <row r="976">
      <c r="B976" s="106"/>
      <c r="F976" s="106"/>
    </row>
    <row r="977">
      <c r="B977" s="106"/>
      <c r="F977" s="106"/>
    </row>
    <row r="978">
      <c r="B978" s="106"/>
      <c r="F978" s="106"/>
    </row>
    <row r="979">
      <c r="B979" s="106"/>
      <c r="F979" s="106"/>
    </row>
    <row r="980">
      <c r="B980" s="106"/>
      <c r="F980" s="106"/>
    </row>
    <row r="981">
      <c r="B981" s="106"/>
      <c r="F981" s="106"/>
    </row>
    <row r="982">
      <c r="B982" s="106"/>
      <c r="F982" s="106"/>
    </row>
    <row r="983">
      <c r="B983" s="106"/>
      <c r="F983" s="106"/>
    </row>
    <row r="984">
      <c r="B984" s="106"/>
      <c r="F984" s="106"/>
    </row>
    <row r="985">
      <c r="B985" s="106"/>
      <c r="F985" s="106"/>
    </row>
    <row r="986">
      <c r="B986" s="106"/>
      <c r="F986" s="106"/>
    </row>
    <row r="987">
      <c r="B987" s="106"/>
      <c r="F987" s="106"/>
    </row>
    <row r="988">
      <c r="B988" s="106"/>
      <c r="F988" s="106"/>
    </row>
    <row r="989">
      <c r="B989" s="106"/>
      <c r="F989" s="106"/>
    </row>
    <row r="990">
      <c r="B990" s="106"/>
      <c r="F990" s="106"/>
    </row>
    <row r="991">
      <c r="B991" s="106"/>
      <c r="F991" s="106"/>
    </row>
    <row r="992">
      <c r="B992" s="106"/>
      <c r="F992" s="106"/>
    </row>
    <row r="993">
      <c r="B993" s="106"/>
      <c r="F993" s="106"/>
    </row>
    <row r="994">
      <c r="B994" s="106"/>
      <c r="F994" s="106"/>
    </row>
    <row r="995">
      <c r="B995" s="106"/>
      <c r="F995" s="106"/>
    </row>
    <row r="996">
      <c r="B996" s="106"/>
      <c r="F996" s="106"/>
    </row>
    <row r="997">
      <c r="B997" s="106"/>
      <c r="F997" s="106"/>
    </row>
    <row r="998">
      <c r="B998" s="106"/>
      <c r="F998" s="106"/>
    </row>
    <row r="999">
      <c r="B999" s="106"/>
      <c r="F999" s="106"/>
    </row>
    <row r="1000">
      <c r="B1000" s="106"/>
      <c r="F1000" s="106"/>
    </row>
    <row r="1001">
      <c r="B1001" s="106"/>
      <c r="F1001" s="106"/>
    </row>
    <row r="1002">
      <c r="B1002" s="106"/>
      <c r="F1002" s="106"/>
    </row>
    <row r="1003">
      <c r="B1003" s="106"/>
      <c r="F1003" s="106"/>
    </row>
    <row r="1004">
      <c r="B1004" s="106"/>
      <c r="F1004" s="106"/>
    </row>
  </sheetData>
  <autoFilter ref="$B$5:$B$139"/>
  <mergeCells count="3">
    <mergeCell ref="A1:D1"/>
    <mergeCell ref="A2:D2"/>
    <mergeCell ref="E2:G2"/>
  </mergeCell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hidden="1" min="1" max="1" width="6.0"/>
    <col hidden="1" min="2" max="3" width="12.63"/>
    <col customWidth="1" min="4" max="4" width="35.5"/>
    <col customWidth="1" min="5" max="5" width="15.63"/>
    <col hidden="1" min="7" max="7" width="12.63"/>
    <col hidden="1" min="12" max="21" width="12.63"/>
  </cols>
  <sheetData>
    <row r="1">
      <c r="A1" s="22" t="s">
        <v>15</v>
      </c>
      <c r="B1" s="22" t="s">
        <v>23</v>
      </c>
      <c r="C1" s="22" t="s">
        <v>25</v>
      </c>
      <c r="D1" s="22" t="s">
        <v>0</v>
      </c>
      <c r="E1" s="441" t="s">
        <v>1</v>
      </c>
      <c r="F1" s="442" t="s">
        <v>2</v>
      </c>
      <c r="G1" s="443"/>
      <c r="H1" s="444" t="s">
        <v>4</v>
      </c>
      <c r="I1" s="445" t="s">
        <v>3</v>
      </c>
      <c r="J1" s="445" t="s">
        <v>5</v>
      </c>
      <c r="K1" s="445" t="s">
        <v>6</v>
      </c>
      <c r="L1" s="442" t="s">
        <v>4</v>
      </c>
      <c r="M1" s="442" t="s">
        <v>3</v>
      </c>
      <c r="N1" s="442" t="s">
        <v>5</v>
      </c>
      <c r="O1" s="442" t="s">
        <v>6</v>
      </c>
      <c r="P1" s="446" t="s">
        <v>4</v>
      </c>
      <c r="Q1" s="446" t="s">
        <v>3</v>
      </c>
      <c r="R1" s="446" t="s">
        <v>5</v>
      </c>
      <c r="S1" s="446" t="s">
        <v>6</v>
      </c>
      <c r="T1" s="445" t="s">
        <v>3</v>
      </c>
      <c r="U1" s="443"/>
    </row>
    <row r="2">
      <c r="A2" s="48">
        <v>219.0</v>
      </c>
      <c r="B2" s="50" t="s">
        <v>115</v>
      </c>
      <c r="C2" s="50" t="s">
        <v>117</v>
      </c>
      <c r="D2" s="50" t="s">
        <v>27</v>
      </c>
      <c r="E2" s="447" t="s">
        <v>117</v>
      </c>
      <c r="F2" s="448">
        <v>11999.0</v>
      </c>
      <c r="G2" s="449"/>
      <c r="H2" s="450">
        <v>10999.0</v>
      </c>
      <c r="I2" s="451">
        <v>11999.0</v>
      </c>
      <c r="J2" s="452">
        <v>7699.0</v>
      </c>
      <c r="K2" s="453">
        <v>9499.0</v>
      </c>
      <c r="L2" s="454">
        <f t="shared" ref="L2:L131" si="1">PRODUCT(F2,0.8)</f>
        <v>9599.2</v>
      </c>
      <c r="M2" s="455">
        <f t="shared" ref="M2:M131" si="2">F2*1.07</f>
        <v>12838.93</v>
      </c>
      <c r="N2" s="456">
        <f t="shared" ref="N2:N131" si="3">F2*0.61</f>
        <v>7319.39</v>
      </c>
      <c r="O2" s="457">
        <f t="shared" ref="O2:O131" si="4">F2*0.74</f>
        <v>8879.26</v>
      </c>
      <c r="P2" s="455">
        <v>12999.0</v>
      </c>
      <c r="Q2" s="455">
        <v>15999.0</v>
      </c>
      <c r="R2" s="458">
        <v>12499.0</v>
      </c>
      <c r="S2" s="459" t="s">
        <v>135</v>
      </c>
      <c r="T2" s="451">
        <v>12999.0</v>
      </c>
      <c r="U2" s="449"/>
    </row>
    <row r="3">
      <c r="A3" s="48">
        <v>224.0</v>
      </c>
      <c r="B3" s="50" t="s">
        <v>120</v>
      </c>
      <c r="C3" s="50" t="s">
        <v>117</v>
      </c>
      <c r="D3" s="50" t="s">
        <v>24</v>
      </c>
      <c r="E3" s="447" t="s">
        <v>117</v>
      </c>
      <c r="F3" s="448">
        <v>8499.0</v>
      </c>
      <c r="G3" s="449"/>
      <c r="H3" s="450">
        <v>7499.0</v>
      </c>
      <c r="I3" s="451">
        <v>8499.0</v>
      </c>
      <c r="J3" s="452">
        <v>5499.0</v>
      </c>
      <c r="K3" s="453">
        <v>6599.0</v>
      </c>
      <c r="L3" s="454">
        <f t="shared" si="1"/>
        <v>6799.2</v>
      </c>
      <c r="M3" s="455">
        <f t="shared" si="2"/>
        <v>9093.93</v>
      </c>
      <c r="N3" s="456">
        <f t="shared" si="3"/>
        <v>5184.39</v>
      </c>
      <c r="O3" s="457">
        <f t="shared" si="4"/>
        <v>6289.26</v>
      </c>
      <c r="P3" s="455">
        <v>7899.0</v>
      </c>
      <c r="Q3" s="455">
        <v>9999.0</v>
      </c>
      <c r="R3" s="458">
        <v>6499.0</v>
      </c>
      <c r="S3" s="459" t="s">
        <v>135</v>
      </c>
      <c r="T3" s="451">
        <v>9499.0</v>
      </c>
      <c r="U3" s="449"/>
    </row>
    <row r="4">
      <c r="A4" s="48">
        <v>223.0</v>
      </c>
      <c r="B4" s="50" t="s">
        <v>123</v>
      </c>
      <c r="C4" s="50" t="s">
        <v>117</v>
      </c>
      <c r="D4" s="50" t="s">
        <v>21</v>
      </c>
      <c r="E4" s="447" t="s">
        <v>117</v>
      </c>
      <c r="F4" s="448">
        <v>6499.0</v>
      </c>
      <c r="G4" s="449"/>
      <c r="H4" s="450">
        <v>5599.0</v>
      </c>
      <c r="I4" s="451">
        <v>6499.0</v>
      </c>
      <c r="J4" s="452">
        <v>3999.0</v>
      </c>
      <c r="K4" s="453">
        <v>4899.0</v>
      </c>
      <c r="L4" s="454">
        <f t="shared" si="1"/>
        <v>5199.2</v>
      </c>
      <c r="M4" s="455">
        <f t="shared" si="2"/>
        <v>6953.93</v>
      </c>
      <c r="N4" s="456">
        <f t="shared" si="3"/>
        <v>3964.39</v>
      </c>
      <c r="O4" s="457">
        <f t="shared" si="4"/>
        <v>4809.26</v>
      </c>
      <c r="P4" s="455">
        <v>4399.0</v>
      </c>
      <c r="Q4" s="455">
        <v>5999.0</v>
      </c>
      <c r="R4" s="458">
        <v>3399.0</v>
      </c>
      <c r="S4" s="459" t="s">
        <v>135</v>
      </c>
      <c r="T4" s="451">
        <v>6999.0</v>
      </c>
      <c r="U4" s="449"/>
    </row>
    <row r="5">
      <c r="A5" s="48">
        <v>218.0</v>
      </c>
      <c r="B5" s="50" t="s">
        <v>129</v>
      </c>
      <c r="C5" s="50" t="s">
        <v>117</v>
      </c>
      <c r="D5" s="50" t="s">
        <v>19</v>
      </c>
      <c r="E5" s="447" t="s">
        <v>117</v>
      </c>
      <c r="F5" s="448">
        <v>5999.0</v>
      </c>
      <c r="G5" s="449"/>
      <c r="H5" s="450">
        <v>5099.0</v>
      </c>
      <c r="I5" s="451">
        <v>5999.0</v>
      </c>
      <c r="J5" s="452">
        <v>3799.0</v>
      </c>
      <c r="K5" s="453">
        <v>4599.0</v>
      </c>
      <c r="L5" s="454">
        <f t="shared" si="1"/>
        <v>4799.2</v>
      </c>
      <c r="M5" s="455">
        <f t="shared" si="2"/>
        <v>6418.93</v>
      </c>
      <c r="N5" s="456">
        <f t="shared" si="3"/>
        <v>3659.39</v>
      </c>
      <c r="O5" s="457">
        <f t="shared" si="4"/>
        <v>4439.26</v>
      </c>
      <c r="P5" s="455">
        <v>4449.0</v>
      </c>
      <c r="Q5" s="455">
        <v>5899.0</v>
      </c>
      <c r="R5" s="458">
        <v>3449.0</v>
      </c>
      <c r="S5" s="459" t="s">
        <v>135</v>
      </c>
      <c r="T5" s="451">
        <v>6499.0</v>
      </c>
      <c r="U5" s="449"/>
    </row>
    <row r="6">
      <c r="A6" s="48">
        <v>217.0</v>
      </c>
      <c r="B6" s="50" t="s">
        <v>133</v>
      </c>
      <c r="C6" s="50" t="s">
        <v>117</v>
      </c>
      <c r="D6" s="50" t="s">
        <v>16</v>
      </c>
      <c r="E6" s="447" t="s">
        <v>117</v>
      </c>
      <c r="F6" s="448">
        <v>3299.0</v>
      </c>
      <c r="G6" s="449"/>
      <c r="H6" s="450">
        <v>2799.0</v>
      </c>
      <c r="I6" s="451">
        <v>3299.0</v>
      </c>
      <c r="J6" s="452">
        <v>2099.0</v>
      </c>
      <c r="K6" s="453">
        <v>2499.0</v>
      </c>
      <c r="L6" s="454">
        <f t="shared" si="1"/>
        <v>2639.2</v>
      </c>
      <c r="M6" s="455">
        <f t="shared" si="2"/>
        <v>3529.93</v>
      </c>
      <c r="N6" s="456">
        <f t="shared" si="3"/>
        <v>2012.39</v>
      </c>
      <c r="O6" s="457">
        <f t="shared" si="4"/>
        <v>2441.26</v>
      </c>
      <c r="P6" s="455">
        <v>2449.0</v>
      </c>
      <c r="Q6" s="455">
        <v>3099.0</v>
      </c>
      <c r="R6" s="458">
        <v>2199.0</v>
      </c>
      <c r="S6" s="459" t="s">
        <v>135</v>
      </c>
      <c r="T6" s="451">
        <v>3499.0</v>
      </c>
      <c r="U6" s="449"/>
    </row>
    <row r="7">
      <c r="A7" s="48">
        <v>221.0</v>
      </c>
      <c r="B7" s="63" t="s">
        <v>157</v>
      </c>
      <c r="C7" s="50" t="s">
        <v>117</v>
      </c>
      <c r="D7" s="50" t="s">
        <v>12</v>
      </c>
      <c r="E7" s="447" t="s">
        <v>117</v>
      </c>
      <c r="F7" s="448">
        <v>2999.0</v>
      </c>
      <c r="G7" s="449"/>
      <c r="H7" s="450">
        <v>2599.0</v>
      </c>
      <c r="I7" s="451">
        <v>2999.0</v>
      </c>
      <c r="J7" s="452">
        <v>1899.0</v>
      </c>
      <c r="K7" s="453">
        <v>2299.0</v>
      </c>
      <c r="L7" s="454">
        <f t="shared" si="1"/>
        <v>2399.2</v>
      </c>
      <c r="M7" s="455">
        <f t="shared" si="2"/>
        <v>3208.93</v>
      </c>
      <c r="N7" s="456">
        <f t="shared" si="3"/>
        <v>1829.39</v>
      </c>
      <c r="O7" s="457">
        <f t="shared" si="4"/>
        <v>2219.26</v>
      </c>
      <c r="P7" s="455">
        <v>2599.0</v>
      </c>
      <c r="Q7" s="455">
        <v>3099.0</v>
      </c>
      <c r="R7" s="458">
        <v>2199.0</v>
      </c>
      <c r="S7" s="459" t="s">
        <v>135</v>
      </c>
      <c r="T7" s="451">
        <v>3299.0</v>
      </c>
      <c r="U7" s="449"/>
    </row>
    <row r="8">
      <c r="A8" s="67">
        <v>222.0</v>
      </c>
      <c r="B8" s="68" t="s">
        <v>165</v>
      </c>
      <c r="C8" s="50" t="s">
        <v>117</v>
      </c>
      <c r="D8" s="50" t="s">
        <v>14</v>
      </c>
      <c r="E8" s="447" t="s">
        <v>117</v>
      </c>
      <c r="F8" s="448">
        <v>2999.0</v>
      </c>
      <c r="G8" s="449"/>
      <c r="H8" s="450">
        <v>2599.0</v>
      </c>
      <c r="I8" s="451">
        <v>2999.0</v>
      </c>
      <c r="J8" s="452">
        <v>1899.0</v>
      </c>
      <c r="K8" s="453">
        <v>2299.0</v>
      </c>
      <c r="L8" s="454">
        <f t="shared" si="1"/>
        <v>2399.2</v>
      </c>
      <c r="M8" s="455">
        <f t="shared" si="2"/>
        <v>3208.93</v>
      </c>
      <c r="N8" s="456">
        <f t="shared" si="3"/>
        <v>1829.39</v>
      </c>
      <c r="O8" s="457">
        <f t="shared" si="4"/>
        <v>2219.26</v>
      </c>
      <c r="P8" s="461" t="s">
        <v>135</v>
      </c>
      <c r="Q8" s="461" t="s">
        <v>135</v>
      </c>
      <c r="R8" s="462"/>
      <c r="S8" s="459" t="s">
        <v>135</v>
      </c>
      <c r="T8" s="451">
        <v>3299.0</v>
      </c>
      <c r="U8" s="449"/>
    </row>
    <row r="9">
      <c r="A9" s="48">
        <v>220.0</v>
      </c>
      <c r="B9" s="50" t="s">
        <v>1100</v>
      </c>
      <c r="C9" s="50" t="s">
        <v>117</v>
      </c>
      <c r="D9" s="50" t="s">
        <v>7</v>
      </c>
      <c r="E9" s="447" t="s">
        <v>117</v>
      </c>
      <c r="F9" s="448">
        <v>1699.0</v>
      </c>
      <c r="G9" s="449"/>
      <c r="H9" s="450">
        <v>1399.0</v>
      </c>
      <c r="I9" s="451">
        <v>1699.0</v>
      </c>
      <c r="J9" s="452">
        <v>1099.0</v>
      </c>
      <c r="K9" s="453">
        <v>1299.0</v>
      </c>
      <c r="L9" s="454">
        <f t="shared" si="1"/>
        <v>1359.2</v>
      </c>
      <c r="M9" s="455">
        <f t="shared" si="2"/>
        <v>1817.93</v>
      </c>
      <c r="N9" s="456">
        <f t="shared" si="3"/>
        <v>1036.39</v>
      </c>
      <c r="O9" s="457">
        <f t="shared" si="4"/>
        <v>1257.26</v>
      </c>
      <c r="P9" s="455">
        <v>1150.0</v>
      </c>
      <c r="Q9" s="455">
        <v>1299.0</v>
      </c>
      <c r="R9" s="458">
        <v>949.0</v>
      </c>
      <c r="S9" s="459" t="s">
        <v>135</v>
      </c>
      <c r="T9" s="451">
        <v>1799.0</v>
      </c>
      <c r="U9" s="449"/>
    </row>
    <row r="10">
      <c r="A10" s="48">
        <v>216.0</v>
      </c>
      <c r="B10" s="50" t="s">
        <v>173</v>
      </c>
      <c r="C10" s="50" t="s">
        <v>117</v>
      </c>
      <c r="D10" s="50" t="s">
        <v>11</v>
      </c>
      <c r="E10" s="447" t="s">
        <v>117</v>
      </c>
      <c r="F10" s="448">
        <v>1699.0</v>
      </c>
      <c r="G10" s="449"/>
      <c r="H10" s="450">
        <v>1399.0</v>
      </c>
      <c r="I10" s="451">
        <v>1699.0</v>
      </c>
      <c r="J10" s="452">
        <v>1099.0</v>
      </c>
      <c r="K10" s="453">
        <v>1399.0</v>
      </c>
      <c r="L10" s="454">
        <f t="shared" si="1"/>
        <v>1359.2</v>
      </c>
      <c r="M10" s="455">
        <f t="shared" si="2"/>
        <v>1817.93</v>
      </c>
      <c r="N10" s="456">
        <f t="shared" si="3"/>
        <v>1036.39</v>
      </c>
      <c r="O10" s="457">
        <f t="shared" si="4"/>
        <v>1257.26</v>
      </c>
      <c r="P10" s="455">
        <v>1150.0</v>
      </c>
      <c r="Q10" s="455">
        <v>1299.0</v>
      </c>
      <c r="R10" s="458">
        <v>949.0</v>
      </c>
      <c r="S10" s="459" t="s">
        <v>135</v>
      </c>
      <c r="T10" s="451">
        <v>1899.0</v>
      </c>
      <c r="U10" s="449"/>
    </row>
    <row r="11">
      <c r="A11" s="48">
        <v>213.0</v>
      </c>
      <c r="B11" s="50" t="s">
        <v>177</v>
      </c>
      <c r="C11" s="50" t="s">
        <v>91</v>
      </c>
      <c r="D11" s="50" t="s">
        <v>392</v>
      </c>
      <c r="E11" s="447" t="s">
        <v>91</v>
      </c>
      <c r="F11" s="448">
        <v>3499.0</v>
      </c>
      <c r="G11" s="449"/>
      <c r="H11" s="450">
        <v>2999.0</v>
      </c>
      <c r="I11" s="451">
        <v>3499.0</v>
      </c>
      <c r="J11" s="452">
        <v>2249.0</v>
      </c>
      <c r="K11" s="453">
        <v>2699.0</v>
      </c>
      <c r="L11" s="454">
        <f t="shared" si="1"/>
        <v>2799.2</v>
      </c>
      <c r="M11" s="455">
        <f t="shared" si="2"/>
        <v>3743.93</v>
      </c>
      <c r="N11" s="456">
        <f t="shared" si="3"/>
        <v>2134.39</v>
      </c>
      <c r="O11" s="457">
        <f t="shared" si="4"/>
        <v>2589.26</v>
      </c>
      <c r="P11" s="461"/>
      <c r="Q11" s="461"/>
      <c r="R11" s="461"/>
      <c r="S11" s="461"/>
      <c r="T11" s="451">
        <v>3849.0</v>
      </c>
      <c r="U11" s="449"/>
    </row>
    <row r="12">
      <c r="A12" s="48">
        <v>215.0</v>
      </c>
      <c r="B12" s="50" t="s">
        <v>181</v>
      </c>
      <c r="C12" s="50" t="s">
        <v>91</v>
      </c>
      <c r="D12" s="50" t="s">
        <v>389</v>
      </c>
      <c r="E12" s="447" t="s">
        <v>91</v>
      </c>
      <c r="F12" s="448">
        <v>3499.0</v>
      </c>
      <c r="G12" s="449"/>
      <c r="H12" s="450">
        <v>2999.0</v>
      </c>
      <c r="I12" s="451">
        <v>3499.0</v>
      </c>
      <c r="J12" s="452">
        <v>2249.0</v>
      </c>
      <c r="K12" s="453">
        <v>2699.0</v>
      </c>
      <c r="L12" s="454">
        <f t="shared" si="1"/>
        <v>2799.2</v>
      </c>
      <c r="M12" s="455">
        <f t="shared" si="2"/>
        <v>3743.93</v>
      </c>
      <c r="N12" s="456">
        <f t="shared" si="3"/>
        <v>2134.39</v>
      </c>
      <c r="O12" s="457">
        <f t="shared" si="4"/>
        <v>2589.26</v>
      </c>
      <c r="P12" s="461"/>
      <c r="Q12" s="461"/>
      <c r="R12" s="461"/>
      <c r="S12" s="461"/>
      <c r="T12" s="451">
        <v>3849.0</v>
      </c>
      <c r="U12" s="449"/>
    </row>
    <row r="13">
      <c r="A13" s="48">
        <v>228.0</v>
      </c>
      <c r="B13" s="50" t="s">
        <v>185</v>
      </c>
      <c r="C13" s="50" t="s">
        <v>186</v>
      </c>
      <c r="D13" s="50" t="s">
        <v>189</v>
      </c>
      <c r="E13" s="447" t="s">
        <v>168</v>
      </c>
      <c r="F13" s="448">
        <v>2849.0</v>
      </c>
      <c r="G13" s="449"/>
      <c r="H13" s="450">
        <v>2399.0</v>
      </c>
      <c r="I13" s="451">
        <v>2849.0</v>
      </c>
      <c r="J13" s="452">
        <v>1899.0</v>
      </c>
      <c r="K13" s="453">
        <v>2199.0</v>
      </c>
      <c r="L13" s="454">
        <f t="shared" si="1"/>
        <v>2279.2</v>
      </c>
      <c r="M13" s="455">
        <f t="shared" si="2"/>
        <v>3048.43</v>
      </c>
      <c r="N13" s="456">
        <f t="shared" si="3"/>
        <v>1737.89</v>
      </c>
      <c r="O13" s="457">
        <f t="shared" si="4"/>
        <v>2108.26</v>
      </c>
      <c r="P13" s="461"/>
      <c r="Q13" s="461"/>
      <c r="R13" s="461"/>
      <c r="S13" s="461"/>
      <c r="T13" s="451">
        <v>3099.0</v>
      </c>
      <c r="U13" s="449"/>
    </row>
    <row r="14">
      <c r="A14" s="48">
        <v>214.0</v>
      </c>
      <c r="B14" s="50" t="s">
        <v>90</v>
      </c>
      <c r="C14" s="50" t="s">
        <v>91</v>
      </c>
      <c r="D14" s="50" t="s">
        <v>385</v>
      </c>
      <c r="E14" s="447" t="s">
        <v>91</v>
      </c>
      <c r="F14" s="448">
        <v>2250.0</v>
      </c>
      <c r="G14" s="449"/>
      <c r="H14" s="450">
        <v>2025.0</v>
      </c>
      <c r="I14" s="451">
        <v>2250.0</v>
      </c>
      <c r="J14" s="452">
        <v>1500.0</v>
      </c>
      <c r="K14" s="453">
        <v>1800.0</v>
      </c>
      <c r="L14" s="454">
        <f t="shared" si="1"/>
        <v>1800</v>
      </c>
      <c r="M14" s="455">
        <f t="shared" si="2"/>
        <v>2407.5</v>
      </c>
      <c r="N14" s="456">
        <f t="shared" si="3"/>
        <v>1372.5</v>
      </c>
      <c r="O14" s="457">
        <f t="shared" si="4"/>
        <v>1665</v>
      </c>
      <c r="P14" s="461"/>
      <c r="Q14" s="461"/>
      <c r="R14" s="461"/>
      <c r="S14" s="461"/>
      <c r="T14" s="451">
        <v>2500.0</v>
      </c>
      <c r="U14" s="449"/>
    </row>
    <row r="15">
      <c r="A15" s="48">
        <v>212.0</v>
      </c>
      <c r="B15" s="50" t="s">
        <v>193</v>
      </c>
      <c r="C15" s="50" t="s">
        <v>91</v>
      </c>
      <c r="D15" s="50" t="s">
        <v>377</v>
      </c>
      <c r="E15" s="447" t="s">
        <v>91</v>
      </c>
      <c r="F15" s="448">
        <v>1999.0</v>
      </c>
      <c r="G15" s="449"/>
      <c r="H15" s="450">
        <v>1799.0</v>
      </c>
      <c r="I15" s="451">
        <v>1999.0</v>
      </c>
      <c r="J15" s="452">
        <v>1399.0</v>
      </c>
      <c r="K15" s="453">
        <v>1599.0</v>
      </c>
      <c r="L15" s="454">
        <f t="shared" si="1"/>
        <v>1599.2</v>
      </c>
      <c r="M15" s="455">
        <f t="shared" si="2"/>
        <v>2138.93</v>
      </c>
      <c r="N15" s="456">
        <f t="shared" si="3"/>
        <v>1219.39</v>
      </c>
      <c r="O15" s="457">
        <f t="shared" si="4"/>
        <v>1479.26</v>
      </c>
      <c r="P15" s="461"/>
      <c r="Q15" s="461"/>
      <c r="R15" s="461"/>
      <c r="S15" s="461"/>
      <c r="T15" s="451">
        <v>2199.0</v>
      </c>
      <c r="U15" s="449"/>
    </row>
    <row r="16">
      <c r="A16" s="48">
        <v>227.0</v>
      </c>
      <c r="B16" s="50" t="s">
        <v>196</v>
      </c>
      <c r="C16" s="50" t="s">
        <v>186</v>
      </c>
      <c r="D16" s="50" t="s">
        <v>187</v>
      </c>
      <c r="E16" s="447" t="s">
        <v>168</v>
      </c>
      <c r="F16" s="448">
        <v>1499.0</v>
      </c>
      <c r="G16" s="449"/>
      <c r="H16" s="450">
        <v>1299.0</v>
      </c>
      <c r="I16" s="451">
        <v>1499.0</v>
      </c>
      <c r="J16" s="452">
        <v>999.0</v>
      </c>
      <c r="K16" s="453">
        <v>1199.0</v>
      </c>
      <c r="L16" s="454">
        <f t="shared" si="1"/>
        <v>1199.2</v>
      </c>
      <c r="M16" s="455">
        <f t="shared" si="2"/>
        <v>1603.93</v>
      </c>
      <c r="N16" s="456">
        <f t="shared" si="3"/>
        <v>914.39</v>
      </c>
      <c r="O16" s="457">
        <f t="shared" si="4"/>
        <v>1109.26</v>
      </c>
      <c r="P16" s="461"/>
      <c r="Q16" s="461"/>
      <c r="R16" s="461"/>
      <c r="S16" s="461"/>
      <c r="T16" s="451">
        <v>1649.0</v>
      </c>
      <c r="U16" s="449"/>
    </row>
    <row r="17">
      <c r="A17" s="48">
        <v>113.0</v>
      </c>
      <c r="B17" s="50" t="s">
        <v>202</v>
      </c>
      <c r="C17" s="50" t="s">
        <v>91</v>
      </c>
      <c r="D17" s="50" t="s">
        <v>372</v>
      </c>
      <c r="E17" s="447" t="s">
        <v>91</v>
      </c>
      <c r="F17" s="448">
        <v>1250.0</v>
      </c>
      <c r="G17" s="449"/>
      <c r="H17" s="450">
        <v>1050.0</v>
      </c>
      <c r="I17" s="451">
        <v>1250.0</v>
      </c>
      <c r="J17" s="452">
        <v>825.0</v>
      </c>
      <c r="K17" s="453">
        <v>950.0</v>
      </c>
      <c r="L17" s="454">
        <f t="shared" si="1"/>
        <v>1000</v>
      </c>
      <c r="M17" s="455">
        <f t="shared" si="2"/>
        <v>1337.5</v>
      </c>
      <c r="N17" s="456">
        <f t="shared" si="3"/>
        <v>762.5</v>
      </c>
      <c r="O17" s="457">
        <f t="shared" si="4"/>
        <v>925</v>
      </c>
      <c r="P17" s="461"/>
      <c r="Q17" s="461"/>
      <c r="R17" s="461"/>
      <c r="S17" s="461"/>
      <c r="T17" s="451">
        <v>1350.0</v>
      </c>
      <c r="U17" s="449"/>
    </row>
    <row r="18">
      <c r="A18" s="48">
        <v>190.0</v>
      </c>
      <c r="B18" s="50" t="s">
        <v>206</v>
      </c>
      <c r="C18" s="50" t="s">
        <v>91</v>
      </c>
      <c r="D18" s="50" t="s">
        <v>358</v>
      </c>
      <c r="E18" s="447" t="s">
        <v>91</v>
      </c>
      <c r="F18" s="448">
        <v>1000.0</v>
      </c>
      <c r="G18" s="449"/>
      <c r="H18" s="450">
        <v>900.0</v>
      </c>
      <c r="I18" s="451">
        <v>1000.0</v>
      </c>
      <c r="J18" s="452">
        <v>700.0</v>
      </c>
      <c r="K18" s="453">
        <v>800.0</v>
      </c>
      <c r="L18" s="454">
        <f t="shared" si="1"/>
        <v>800</v>
      </c>
      <c r="M18" s="455">
        <f t="shared" si="2"/>
        <v>1070</v>
      </c>
      <c r="N18" s="456">
        <f t="shared" si="3"/>
        <v>610</v>
      </c>
      <c r="O18" s="457">
        <f t="shared" si="4"/>
        <v>740</v>
      </c>
      <c r="P18" s="461"/>
      <c r="Q18" s="461"/>
      <c r="R18" s="461"/>
      <c r="S18" s="461"/>
      <c r="T18" s="451">
        <v>1100.0</v>
      </c>
      <c r="U18" s="449"/>
    </row>
    <row r="19">
      <c r="A19" s="48">
        <v>192.0</v>
      </c>
      <c r="B19" s="50" t="s">
        <v>209</v>
      </c>
      <c r="C19" s="50" t="s">
        <v>91</v>
      </c>
      <c r="D19" s="50" t="s">
        <v>364</v>
      </c>
      <c r="E19" s="447" t="s">
        <v>91</v>
      </c>
      <c r="F19" s="448">
        <v>1000.0</v>
      </c>
      <c r="G19" s="449"/>
      <c r="H19" s="450">
        <v>900.0</v>
      </c>
      <c r="I19" s="451">
        <v>1000.0</v>
      </c>
      <c r="J19" s="452">
        <v>700.0</v>
      </c>
      <c r="K19" s="453">
        <v>800.0</v>
      </c>
      <c r="L19" s="454">
        <f t="shared" si="1"/>
        <v>800</v>
      </c>
      <c r="M19" s="455">
        <f t="shared" si="2"/>
        <v>1070</v>
      </c>
      <c r="N19" s="456">
        <f t="shared" si="3"/>
        <v>610</v>
      </c>
      <c r="O19" s="457">
        <f t="shared" si="4"/>
        <v>740</v>
      </c>
      <c r="P19" s="461"/>
      <c r="Q19" s="461"/>
      <c r="R19" s="461"/>
      <c r="S19" s="461"/>
      <c r="T19" s="451">
        <v>1100.0</v>
      </c>
      <c r="U19" s="449"/>
    </row>
    <row r="20">
      <c r="A20" s="48">
        <v>168.0</v>
      </c>
      <c r="B20" s="50" t="s">
        <v>213</v>
      </c>
      <c r="C20" s="50" t="s">
        <v>186</v>
      </c>
      <c r="D20" s="50" t="s">
        <v>39</v>
      </c>
      <c r="E20" s="447" t="s">
        <v>37</v>
      </c>
      <c r="F20" s="448">
        <v>990.0</v>
      </c>
      <c r="G20" s="449"/>
      <c r="H20" s="450">
        <v>890.0</v>
      </c>
      <c r="I20" s="451">
        <v>990.0</v>
      </c>
      <c r="J20" s="452">
        <v>690.0</v>
      </c>
      <c r="K20" s="453">
        <v>790.0</v>
      </c>
      <c r="L20" s="454">
        <f t="shared" si="1"/>
        <v>792</v>
      </c>
      <c r="M20" s="455">
        <f t="shared" si="2"/>
        <v>1059.3</v>
      </c>
      <c r="N20" s="456">
        <f t="shared" si="3"/>
        <v>603.9</v>
      </c>
      <c r="O20" s="457">
        <f t="shared" si="4"/>
        <v>732.6</v>
      </c>
      <c r="P20" s="461"/>
      <c r="Q20" s="461"/>
      <c r="R20" s="461"/>
      <c r="S20" s="461"/>
      <c r="T20" s="451">
        <v>1090.0</v>
      </c>
      <c r="U20" s="449"/>
    </row>
    <row r="21">
      <c r="A21" s="48">
        <v>76.0</v>
      </c>
      <c r="B21" s="50" t="s">
        <v>222</v>
      </c>
      <c r="C21" s="50" t="s">
        <v>186</v>
      </c>
      <c r="D21" s="50" t="s">
        <v>131</v>
      </c>
      <c r="E21" s="447" t="s">
        <v>78</v>
      </c>
      <c r="F21" s="448">
        <v>750.0</v>
      </c>
      <c r="G21" s="449"/>
      <c r="H21" s="450">
        <v>675.0</v>
      </c>
      <c r="I21" s="451">
        <v>750.0</v>
      </c>
      <c r="J21" s="452">
        <v>525.0</v>
      </c>
      <c r="K21" s="453">
        <v>600.0</v>
      </c>
      <c r="L21" s="454">
        <f t="shared" si="1"/>
        <v>600</v>
      </c>
      <c r="M21" s="455">
        <f t="shared" si="2"/>
        <v>802.5</v>
      </c>
      <c r="N21" s="456">
        <f t="shared" si="3"/>
        <v>457.5</v>
      </c>
      <c r="O21" s="457">
        <f t="shared" si="4"/>
        <v>555</v>
      </c>
      <c r="P21" s="461"/>
      <c r="Q21" s="461"/>
      <c r="R21" s="461"/>
      <c r="S21" s="461"/>
      <c r="T21" s="451">
        <v>825.0</v>
      </c>
      <c r="U21" s="449"/>
    </row>
    <row r="22">
      <c r="A22" s="48">
        <v>125.0</v>
      </c>
      <c r="B22" s="50" t="s">
        <v>231</v>
      </c>
      <c r="C22" s="50" t="s">
        <v>186</v>
      </c>
      <c r="D22" s="50" t="s">
        <v>505</v>
      </c>
      <c r="E22" s="447" t="s">
        <v>186</v>
      </c>
      <c r="F22" s="448">
        <v>750.0</v>
      </c>
      <c r="G22" s="449"/>
      <c r="H22" s="450">
        <v>675.0</v>
      </c>
      <c r="I22" s="451">
        <v>750.0</v>
      </c>
      <c r="J22" s="452">
        <v>525.0</v>
      </c>
      <c r="K22" s="453">
        <v>600.0</v>
      </c>
      <c r="L22" s="454">
        <f t="shared" si="1"/>
        <v>600</v>
      </c>
      <c r="M22" s="455">
        <f t="shared" si="2"/>
        <v>802.5</v>
      </c>
      <c r="N22" s="456">
        <f t="shared" si="3"/>
        <v>457.5</v>
      </c>
      <c r="O22" s="457">
        <f t="shared" si="4"/>
        <v>555</v>
      </c>
      <c r="P22" s="461"/>
      <c r="Q22" s="461"/>
      <c r="R22" s="461"/>
      <c r="S22" s="461"/>
      <c r="T22" s="451">
        <v>825.0</v>
      </c>
      <c r="U22" s="449"/>
    </row>
    <row r="23">
      <c r="A23" s="48">
        <v>87.0</v>
      </c>
      <c r="B23" s="50" t="s">
        <v>241</v>
      </c>
      <c r="C23" s="50" t="s">
        <v>186</v>
      </c>
      <c r="D23" s="50" t="s">
        <v>251</v>
      </c>
      <c r="E23" s="447" t="s">
        <v>186</v>
      </c>
      <c r="F23" s="448">
        <v>750.0</v>
      </c>
      <c r="G23" s="449"/>
      <c r="H23" s="450">
        <v>675.0</v>
      </c>
      <c r="I23" s="451">
        <v>750.0</v>
      </c>
      <c r="J23" s="452">
        <v>525.0</v>
      </c>
      <c r="K23" s="453">
        <v>600.0</v>
      </c>
      <c r="L23" s="454">
        <f t="shared" si="1"/>
        <v>600</v>
      </c>
      <c r="M23" s="455">
        <f t="shared" si="2"/>
        <v>802.5</v>
      </c>
      <c r="N23" s="456">
        <f t="shared" si="3"/>
        <v>457.5</v>
      </c>
      <c r="O23" s="457">
        <f t="shared" si="4"/>
        <v>555</v>
      </c>
      <c r="P23" s="461"/>
      <c r="Q23" s="461"/>
      <c r="R23" s="461"/>
      <c r="S23" s="461"/>
      <c r="T23" s="451">
        <v>825.0</v>
      </c>
      <c r="U23" s="449"/>
    </row>
    <row r="24">
      <c r="A24" s="48">
        <v>193.0</v>
      </c>
      <c r="B24" s="50" t="s">
        <v>248</v>
      </c>
      <c r="C24" s="50" t="s">
        <v>91</v>
      </c>
      <c r="D24" s="50" t="s">
        <v>355</v>
      </c>
      <c r="E24" s="447" t="s">
        <v>91</v>
      </c>
      <c r="F24" s="448">
        <v>750.0</v>
      </c>
      <c r="G24" s="449"/>
      <c r="H24" s="450">
        <v>675.0</v>
      </c>
      <c r="I24" s="451">
        <v>750.0</v>
      </c>
      <c r="J24" s="452">
        <v>525.0</v>
      </c>
      <c r="K24" s="453">
        <v>600.0</v>
      </c>
      <c r="L24" s="454">
        <f t="shared" si="1"/>
        <v>600</v>
      </c>
      <c r="M24" s="455">
        <f t="shared" si="2"/>
        <v>802.5</v>
      </c>
      <c r="N24" s="456">
        <f t="shared" si="3"/>
        <v>457.5</v>
      </c>
      <c r="O24" s="457">
        <f t="shared" si="4"/>
        <v>555</v>
      </c>
      <c r="P24" s="461"/>
      <c r="Q24" s="461"/>
      <c r="R24" s="461"/>
      <c r="S24" s="461"/>
      <c r="T24" s="451">
        <v>825.0</v>
      </c>
      <c r="U24" s="449"/>
    </row>
    <row r="25">
      <c r="A25" s="48">
        <v>206.0</v>
      </c>
      <c r="B25" s="50" t="s">
        <v>266</v>
      </c>
      <c r="C25" s="50" t="s">
        <v>91</v>
      </c>
      <c r="D25" s="50" t="s">
        <v>351</v>
      </c>
      <c r="E25" s="447" t="s">
        <v>91</v>
      </c>
      <c r="F25" s="448">
        <v>750.0</v>
      </c>
      <c r="G25" s="449"/>
      <c r="H25" s="450">
        <v>675.0</v>
      </c>
      <c r="I25" s="451">
        <v>750.0</v>
      </c>
      <c r="J25" s="452">
        <v>525.0</v>
      </c>
      <c r="K25" s="453">
        <v>600.0</v>
      </c>
      <c r="L25" s="454">
        <f t="shared" si="1"/>
        <v>600</v>
      </c>
      <c r="M25" s="455">
        <f t="shared" si="2"/>
        <v>802.5</v>
      </c>
      <c r="N25" s="456">
        <f t="shared" si="3"/>
        <v>457.5</v>
      </c>
      <c r="O25" s="457">
        <f t="shared" si="4"/>
        <v>555</v>
      </c>
      <c r="P25" s="461"/>
      <c r="Q25" s="461"/>
      <c r="R25" s="461"/>
      <c r="S25" s="461"/>
      <c r="T25" s="451">
        <v>825.0</v>
      </c>
      <c r="U25" s="449"/>
    </row>
    <row r="26">
      <c r="A26" s="48">
        <v>208.0</v>
      </c>
      <c r="B26" s="50" t="s">
        <v>278</v>
      </c>
      <c r="C26" s="50" t="s">
        <v>91</v>
      </c>
      <c r="D26" s="50" t="s">
        <v>347</v>
      </c>
      <c r="E26" s="447" t="s">
        <v>91</v>
      </c>
      <c r="F26" s="448">
        <v>750.0</v>
      </c>
      <c r="G26" s="449"/>
      <c r="H26" s="450">
        <v>675.0</v>
      </c>
      <c r="I26" s="451">
        <v>750.0</v>
      </c>
      <c r="J26" s="452">
        <v>525.0</v>
      </c>
      <c r="K26" s="453">
        <v>600.0</v>
      </c>
      <c r="L26" s="454">
        <f t="shared" si="1"/>
        <v>600</v>
      </c>
      <c r="M26" s="455">
        <f t="shared" si="2"/>
        <v>802.5</v>
      </c>
      <c r="N26" s="456">
        <f t="shared" si="3"/>
        <v>457.5</v>
      </c>
      <c r="O26" s="457">
        <f t="shared" si="4"/>
        <v>555</v>
      </c>
      <c r="P26" s="461"/>
      <c r="Q26" s="461"/>
      <c r="R26" s="461"/>
      <c r="S26" s="461"/>
      <c r="T26" s="451">
        <v>825.0</v>
      </c>
      <c r="U26" s="449"/>
    </row>
    <row r="27">
      <c r="A27" s="48">
        <v>182.0</v>
      </c>
      <c r="B27" s="50" t="s">
        <v>285</v>
      </c>
      <c r="C27" s="50" t="s">
        <v>186</v>
      </c>
      <c r="D27" s="50" t="s">
        <v>244</v>
      </c>
      <c r="E27" s="447" t="s">
        <v>186</v>
      </c>
      <c r="F27" s="448">
        <v>749.0</v>
      </c>
      <c r="G27" s="449"/>
      <c r="H27" s="450">
        <v>675.0</v>
      </c>
      <c r="I27" s="451">
        <v>749.0</v>
      </c>
      <c r="J27" s="452">
        <v>525.0</v>
      </c>
      <c r="K27" s="453">
        <v>600.0</v>
      </c>
      <c r="L27" s="454">
        <f t="shared" si="1"/>
        <v>599.2</v>
      </c>
      <c r="M27" s="455">
        <f t="shared" si="2"/>
        <v>801.43</v>
      </c>
      <c r="N27" s="456">
        <f t="shared" si="3"/>
        <v>456.89</v>
      </c>
      <c r="O27" s="457">
        <f t="shared" si="4"/>
        <v>554.26</v>
      </c>
      <c r="P27" s="461"/>
      <c r="Q27" s="461"/>
      <c r="R27" s="461"/>
      <c r="S27" s="461"/>
      <c r="T27" s="451">
        <v>825.0</v>
      </c>
      <c r="U27" s="449"/>
    </row>
    <row r="28">
      <c r="A28" s="48">
        <v>14.0</v>
      </c>
      <c r="B28" s="50" t="s">
        <v>291</v>
      </c>
      <c r="C28" s="50" t="s">
        <v>91</v>
      </c>
      <c r="D28" s="50" t="s">
        <v>345</v>
      </c>
      <c r="E28" s="447" t="s">
        <v>91</v>
      </c>
      <c r="F28" s="448">
        <v>650.0</v>
      </c>
      <c r="G28" s="449"/>
      <c r="H28" s="450">
        <v>550.0</v>
      </c>
      <c r="I28" s="451">
        <v>650.0</v>
      </c>
      <c r="J28" s="452">
        <v>425.0</v>
      </c>
      <c r="K28" s="453">
        <v>500.0</v>
      </c>
      <c r="L28" s="454">
        <f t="shared" si="1"/>
        <v>520</v>
      </c>
      <c r="M28" s="455">
        <f t="shared" si="2"/>
        <v>695.5</v>
      </c>
      <c r="N28" s="456">
        <f t="shared" si="3"/>
        <v>396.5</v>
      </c>
      <c r="O28" s="457">
        <f t="shared" si="4"/>
        <v>481</v>
      </c>
      <c r="P28" s="461"/>
      <c r="Q28" s="461"/>
      <c r="R28" s="461"/>
      <c r="S28" s="461"/>
      <c r="T28" s="451">
        <v>700.0</v>
      </c>
      <c r="U28" s="449"/>
    </row>
    <row r="29">
      <c r="A29" s="48">
        <v>114.0</v>
      </c>
      <c r="B29" s="50" t="s">
        <v>298</v>
      </c>
      <c r="C29" s="50" t="s">
        <v>91</v>
      </c>
      <c r="D29" s="50" t="s">
        <v>560</v>
      </c>
      <c r="E29" s="447" t="s">
        <v>91</v>
      </c>
      <c r="F29" s="448">
        <v>600.0</v>
      </c>
      <c r="G29" s="449"/>
      <c r="H29" s="450">
        <v>500.0</v>
      </c>
      <c r="I29" s="451">
        <v>600.0</v>
      </c>
      <c r="J29" s="452">
        <v>400.0</v>
      </c>
      <c r="K29" s="453">
        <v>450.0</v>
      </c>
      <c r="L29" s="454">
        <f t="shared" si="1"/>
        <v>480</v>
      </c>
      <c r="M29" s="455">
        <f t="shared" si="2"/>
        <v>642</v>
      </c>
      <c r="N29" s="456">
        <f t="shared" si="3"/>
        <v>366</v>
      </c>
      <c r="O29" s="457">
        <f t="shared" si="4"/>
        <v>444</v>
      </c>
      <c r="P29" s="461"/>
      <c r="Q29" s="461"/>
      <c r="R29" s="461"/>
      <c r="S29" s="461"/>
      <c r="T29" s="451">
        <v>650.0</v>
      </c>
      <c r="U29" s="449"/>
    </row>
    <row r="30">
      <c r="A30" s="48">
        <v>189.0</v>
      </c>
      <c r="B30" s="50" t="s">
        <v>306</v>
      </c>
      <c r="C30" s="50" t="s">
        <v>186</v>
      </c>
      <c r="D30" s="50" t="s">
        <v>73</v>
      </c>
      <c r="E30" s="447" t="s">
        <v>43</v>
      </c>
      <c r="F30" s="448">
        <v>599.0</v>
      </c>
      <c r="G30" s="449"/>
      <c r="H30" s="450">
        <v>499.0</v>
      </c>
      <c r="I30" s="451">
        <v>599.0</v>
      </c>
      <c r="J30" s="452">
        <v>399.0</v>
      </c>
      <c r="K30" s="453">
        <v>449.0</v>
      </c>
      <c r="L30" s="454">
        <f t="shared" si="1"/>
        <v>479.2</v>
      </c>
      <c r="M30" s="455">
        <f t="shared" si="2"/>
        <v>640.93</v>
      </c>
      <c r="N30" s="456">
        <f t="shared" si="3"/>
        <v>365.39</v>
      </c>
      <c r="O30" s="457">
        <f t="shared" si="4"/>
        <v>443.26</v>
      </c>
      <c r="P30" s="461"/>
      <c r="Q30" s="461"/>
      <c r="R30" s="461"/>
      <c r="S30" s="461"/>
      <c r="T30" s="451">
        <v>649.0</v>
      </c>
      <c r="U30" s="449"/>
    </row>
    <row r="31">
      <c r="A31" s="48">
        <v>89.0</v>
      </c>
      <c r="B31" s="50" t="s">
        <v>313</v>
      </c>
      <c r="C31" s="50" t="s">
        <v>186</v>
      </c>
      <c r="D31" s="50" t="s">
        <v>74</v>
      </c>
      <c r="E31" s="447" t="s">
        <v>43</v>
      </c>
      <c r="F31" s="448">
        <v>599.0</v>
      </c>
      <c r="G31" s="449"/>
      <c r="H31" s="450">
        <v>499.0</v>
      </c>
      <c r="I31" s="451">
        <v>599.0</v>
      </c>
      <c r="J31" s="452">
        <v>399.0</v>
      </c>
      <c r="K31" s="453">
        <v>449.0</v>
      </c>
      <c r="L31" s="454">
        <f t="shared" si="1"/>
        <v>479.2</v>
      </c>
      <c r="M31" s="455">
        <f t="shared" si="2"/>
        <v>640.93</v>
      </c>
      <c r="N31" s="456">
        <f t="shared" si="3"/>
        <v>365.39</v>
      </c>
      <c r="O31" s="457">
        <f t="shared" si="4"/>
        <v>443.26</v>
      </c>
      <c r="P31" s="461"/>
      <c r="Q31" s="461"/>
      <c r="R31" s="461"/>
      <c r="S31" s="461"/>
      <c r="T31" s="451">
        <v>649.0</v>
      </c>
      <c r="U31" s="449"/>
    </row>
    <row r="32">
      <c r="A32" s="48">
        <v>85.0</v>
      </c>
      <c r="B32" s="50" t="s">
        <v>323</v>
      </c>
      <c r="C32" s="50" t="s">
        <v>186</v>
      </c>
      <c r="D32" s="50" t="s">
        <v>76</v>
      </c>
      <c r="E32" s="447" t="s">
        <v>43</v>
      </c>
      <c r="F32" s="448">
        <v>599.0</v>
      </c>
      <c r="G32" s="449"/>
      <c r="H32" s="450">
        <v>499.0</v>
      </c>
      <c r="I32" s="451">
        <v>599.0</v>
      </c>
      <c r="J32" s="452">
        <v>399.0</v>
      </c>
      <c r="K32" s="453">
        <v>449.0</v>
      </c>
      <c r="L32" s="454">
        <f t="shared" si="1"/>
        <v>479.2</v>
      </c>
      <c r="M32" s="455">
        <f t="shared" si="2"/>
        <v>640.93</v>
      </c>
      <c r="N32" s="456">
        <f t="shared" si="3"/>
        <v>365.39</v>
      </c>
      <c r="O32" s="457">
        <f t="shared" si="4"/>
        <v>443.26</v>
      </c>
      <c r="P32" s="461"/>
      <c r="Q32" s="461"/>
      <c r="R32" s="461"/>
      <c r="S32" s="461"/>
      <c r="T32" s="451">
        <v>649.0</v>
      </c>
      <c r="U32" s="449"/>
    </row>
    <row r="33">
      <c r="A33" s="48">
        <v>165.0</v>
      </c>
      <c r="B33" s="50" t="s">
        <v>335</v>
      </c>
      <c r="C33" s="50" t="s">
        <v>186</v>
      </c>
      <c r="D33" s="50" t="s">
        <v>116</v>
      </c>
      <c r="E33" s="447" t="s">
        <v>78</v>
      </c>
      <c r="F33" s="448">
        <v>500.0</v>
      </c>
      <c r="G33" s="449"/>
      <c r="H33" s="450">
        <v>450.0</v>
      </c>
      <c r="I33" s="451">
        <v>500.0</v>
      </c>
      <c r="J33" s="452">
        <v>350.0</v>
      </c>
      <c r="K33" s="453">
        <v>400.0</v>
      </c>
      <c r="L33" s="454">
        <f t="shared" si="1"/>
        <v>400</v>
      </c>
      <c r="M33" s="455">
        <f t="shared" si="2"/>
        <v>535</v>
      </c>
      <c r="N33" s="456">
        <f t="shared" si="3"/>
        <v>305</v>
      </c>
      <c r="O33" s="457">
        <f t="shared" si="4"/>
        <v>370</v>
      </c>
      <c r="P33" s="461"/>
      <c r="Q33" s="461"/>
      <c r="R33" s="461"/>
      <c r="S33" s="461"/>
      <c r="T33" s="451">
        <v>550.0</v>
      </c>
      <c r="U33" s="449"/>
    </row>
    <row r="34">
      <c r="A34" s="48">
        <v>118.0</v>
      </c>
      <c r="B34" s="50" t="s">
        <v>342</v>
      </c>
      <c r="C34" s="50" t="s">
        <v>186</v>
      </c>
      <c r="D34" s="50" t="s">
        <v>118</v>
      </c>
      <c r="E34" s="447" t="s">
        <v>78</v>
      </c>
      <c r="F34" s="448">
        <v>500.0</v>
      </c>
      <c r="G34" s="449"/>
      <c r="H34" s="450">
        <v>450.0</v>
      </c>
      <c r="I34" s="451">
        <v>500.0</v>
      </c>
      <c r="J34" s="452">
        <v>350.0</v>
      </c>
      <c r="K34" s="453">
        <v>400.0</v>
      </c>
      <c r="L34" s="454">
        <f t="shared" si="1"/>
        <v>400</v>
      </c>
      <c r="M34" s="455">
        <f t="shared" si="2"/>
        <v>535</v>
      </c>
      <c r="N34" s="456">
        <f t="shared" si="3"/>
        <v>305</v>
      </c>
      <c r="O34" s="457">
        <f t="shared" si="4"/>
        <v>370</v>
      </c>
      <c r="P34" s="461"/>
      <c r="Q34" s="461"/>
      <c r="R34" s="461"/>
      <c r="S34" s="461"/>
      <c r="T34" s="451">
        <v>550.0</v>
      </c>
      <c r="U34" s="449"/>
    </row>
    <row r="35">
      <c r="A35" s="48">
        <v>18.0</v>
      </c>
      <c r="B35" s="50" t="s">
        <v>373</v>
      </c>
      <c r="C35" s="50" t="s">
        <v>186</v>
      </c>
      <c r="D35" s="50" t="s">
        <v>68</v>
      </c>
      <c r="E35" s="447" t="s">
        <v>43</v>
      </c>
      <c r="F35" s="448">
        <v>500.0</v>
      </c>
      <c r="G35" s="449"/>
      <c r="H35" s="450">
        <v>450.0</v>
      </c>
      <c r="I35" s="451">
        <v>500.0</v>
      </c>
      <c r="J35" s="452">
        <v>350.0</v>
      </c>
      <c r="K35" s="453">
        <v>400.0</v>
      </c>
      <c r="L35" s="454">
        <f t="shared" si="1"/>
        <v>400</v>
      </c>
      <c r="M35" s="455">
        <f t="shared" si="2"/>
        <v>535</v>
      </c>
      <c r="N35" s="456">
        <f t="shared" si="3"/>
        <v>305</v>
      </c>
      <c r="O35" s="457">
        <f t="shared" si="4"/>
        <v>370</v>
      </c>
      <c r="P35" s="461"/>
      <c r="Q35" s="461"/>
      <c r="R35" s="461"/>
      <c r="S35" s="461"/>
      <c r="T35" s="451">
        <v>550.0</v>
      </c>
      <c r="U35" s="449"/>
    </row>
    <row r="36">
      <c r="A36" s="48">
        <v>86.0</v>
      </c>
      <c r="B36" s="50" t="s">
        <v>386</v>
      </c>
      <c r="C36" s="50" t="s">
        <v>186</v>
      </c>
      <c r="D36" s="50" t="s">
        <v>66</v>
      </c>
      <c r="E36" s="447" t="s">
        <v>43</v>
      </c>
      <c r="F36" s="448">
        <v>500.0</v>
      </c>
      <c r="G36" s="449"/>
      <c r="H36" s="450">
        <v>450.0</v>
      </c>
      <c r="I36" s="451">
        <v>500.0</v>
      </c>
      <c r="J36" s="452">
        <v>350.0</v>
      </c>
      <c r="K36" s="453">
        <v>400.0</v>
      </c>
      <c r="L36" s="454">
        <f t="shared" si="1"/>
        <v>400</v>
      </c>
      <c r="M36" s="455">
        <f t="shared" si="2"/>
        <v>535</v>
      </c>
      <c r="N36" s="456">
        <f t="shared" si="3"/>
        <v>305</v>
      </c>
      <c r="O36" s="457">
        <f t="shared" si="4"/>
        <v>370</v>
      </c>
      <c r="P36" s="461"/>
      <c r="Q36" s="461"/>
      <c r="R36" s="461"/>
      <c r="S36" s="461"/>
      <c r="T36" s="451">
        <v>550.0</v>
      </c>
      <c r="U36" s="449"/>
    </row>
    <row r="37">
      <c r="A37" s="48">
        <v>210.0</v>
      </c>
      <c r="B37" s="50" t="s">
        <v>388</v>
      </c>
      <c r="C37" s="50" t="s">
        <v>91</v>
      </c>
      <c r="D37" s="50" t="s">
        <v>289</v>
      </c>
      <c r="E37" s="447" t="s">
        <v>91</v>
      </c>
      <c r="F37" s="448">
        <v>500.0</v>
      </c>
      <c r="G37" s="449"/>
      <c r="H37" s="450">
        <v>450.0</v>
      </c>
      <c r="I37" s="451">
        <v>500.0</v>
      </c>
      <c r="J37" s="452">
        <v>350.0</v>
      </c>
      <c r="K37" s="453">
        <v>400.0</v>
      </c>
      <c r="L37" s="454">
        <f t="shared" si="1"/>
        <v>400</v>
      </c>
      <c r="M37" s="455">
        <f t="shared" si="2"/>
        <v>535</v>
      </c>
      <c r="N37" s="456">
        <f t="shared" si="3"/>
        <v>305</v>
      </c>
      <c r="O37" s="457">
        <f t="shared" si="4"/>
        <v>370</v>
      </c>
      <c r="P37" s="461"/>
      <c r="Q37" s="461"/>
      <c r="R37" s="461"/>
      <c r="S37" s="461"/>
      <c r="T37" s="451">
        <v>550.0</v>
      </c>
      <c r="U37" s="449"/>
    </row>
    <row r="38">
      <c r="A38" s="48">
        <v>229.0</v>
      </c>
      <c r="B38" s="50" t="s">
        <v>391</v>
      </c>
      <c r="C38" s="50" t="s">
        <v>91</v>
      </c>
      <c r="D38" s="50" t="s">
        <v>286</v>
      </c>
      <c r="E38" s="447" t="s">
        <v>91</v>
      </c>
      <c r="F38" s="448">
        <v>500.0</v>
      </c>
      <c r="G38" s="449"/>
      <c r="H38" s="450">
        <v>450.0</v>
      </c>
      <c r="I38" s="451">
        <v>500.0</v>
      </c>
      <c r="J38" s="452">
        <v>350.0</v>
      </c>
      <c r="K38" s="453">
        <v>400.0</v>
      </c>
      <c r="L38" s="454">
        <f t="shared" si="1"/>
        <v>400</v>
      </c>
      <c r="M38" s="455">
        <f t="shared" si="2"/>
        <v>535</v>
      </c>
      <c r="N38" s="456">
        <f t="shared" si="3"/>
        <v>305</v>
      </c>
      <c r="O38" s="457">
        <f t="shared" si="4"/>
        <v>370</v>
      </c>
      <c r="P38" s="461"/>
      <c r="Q38" s="461"/>
      <c r="R38" s="461"/>
      <c r="S38" s="461"/>
      <c r="T38" s="451">
        <v>550.0</v>
      </c>
      <c r="U38" s="449"/>
    </row>
    <row r="39">
      <c r="A39" s="48">
        <v>195.0</v>
      </c>
      <c r="B39" s="50" t="s">
        <v>393</v>
      </c>
      <c r="C39" s="50" t="s">
        <v>91</v>
      </c>
      <c r="D39" s="50" t="s">
        <v>262</v>
      </c>
      <c r="E39" s="447" t="s">
        <v>91</v>
      </c>
      <c r="F39" s="448">
        <v>500.0</v>
      </c>
      <c r="G39" s="449"/>
      <c r="H39" s="450">
        <v>450.0</v>
      </c>
      <c r="I39" s="451">
        <v>500.0</v>
      </c>
      <c r="J39" s="452">
        <v>350.0</v>
      </c>
      <c r="K39" s="453">
        <v>400.0</v>
      </c>
      <c r="L39" s="454">
        <f t="shared" si="1"/>
        <v>400</v>
      </c>
      <c r="M39" s="455">
        <f t="shared" si="2"/>
        <v>535</v>
      </c>
      <c r="N39" s="456">
        <f t="shared" si="3"/>
        <v>305</v>
      </c>
      <c r="O39" s="457">
        <f t="shared" si="4"/>
        <v>370</v>
      </c>
      <c r="P39" s="461"/>
      <c r="Q39" s="461"/>
      <c r="R39" s="461"/>
      <c r="S39" s="461"/>
      <c r="T39" s="451">
        <v>550.0</v>
      </c>
      <c r="U39" s="449"/>
    </row>
    <row r="40">
      <c r="A40" s="48">
        <v>194.0</v>
      </c>
      <c r="B40" s="50" t="s">
        <v>398</v>
      </c>
      <c r="C40" s="50" t="s">
        <v>91</v>
      </c>
      <c r="D40" s="50" t="s">
        <v>314</v>
      </c>
      <c r="E40" s="447" t="s">
        <v>91</v>
      </c>
      <c r="F40" s="448">
        <v>500.0</v>
      </c>
      <c r="G40" s="449"/>
      <c r="H40" s="450">
        <v>450.0</v>
      </c>
      <c r="I40" s="451">
        <v>500.0</v>
      </c>
      <c r="J40" s="452">
        <v>350.0</v>
      </c>
      <c r="K40" s="453">
        <v>400.0</v>
      </c>
      <c r="L40" s="454">
        <f t="shared" si="1"/>
        <v>400</v>
      </c>
      <c r="M40" s="455">
        <f t="shared" si="2"/>
        <v>535</v>
      </c>
      <c r="N40" s="456">
        <f t="shared" si="3"/>
        <v>305</v>
      </c>
      <c r="O40" s="457">
        <f t="shared" si="4"/>
        <v>370</v>
      </c>
      <c r="P40" s="461"/>
      <c r="Q40" s="461"/>
      <c r="R40" s="461"/>
      <c r="S40" s="461"/>
      <c r="T40" s="451">
        <v>550.0</v>
      </c>
      <c r="U40" s="449"/>
    </row>
    <row r="41">
      <c r="A41" s="48">
        <v>204.0</v>
      </c>
      <c r="B41" s="50" t="s">
        <v>107</v>
      </c>
      <c r="C41" s="50" t="s">
        <v>91</v>
      </c>
      <c r="D41" s="50" t="s">
        <v>300</v>
      </c>
      <c r="E41" s="447" t="s">
        <v>91</v>
      </c>
      <c r="F41" s="448">
        <v>500.0</v>
      </c>
      <c r="G41" s="449"/>
      <c r="H41" s="450">
        <v>450.0</v>
      </c>
      <c r="I41" s="451">
        <v>500.0</v>
      </c>
      <c r="J41" s="452">
        <v>350.0</v>
      </c>
      <c r="K41" s="453">
        <v>400.0</v>
      </c>
      <c r="L41" s="454">
        <f t="shared" si="1"/>
        <v>400</v>
      </c>
      <c r="M41" s="455">
        <f t="shared" si="2"/>
        <v>535</v>
      </c>
      <c r="N41" s="456">
        <f t="shared" si="3"/>
        <v>305</v>
      </c>
      <c r="O41" s="457">
        <f t="shared" si="4"/>
        <v>370</v>
      </c>
      <c r="P41" s="461"/>
      <c r="Q41" s="461"/>
      <c r="R41" s="461"/>
      <c r="S41" s="461"/>
      <c r="T41" s="451">
        <v>550.0</v>
      </c>
      <c r="U41" s="449"/>
    </row>
    <row r="42">
      <c r="A42" s="48">
        <v>17.0</v>
      </c>
      <c r="B42" s="50" t="s">
        <v>103</v>
      </c>
      <c r="C42" s="50" t="s">
        <v>91</v>
      </c>
      <c r="D42" s="50" t="s">
        <v>330</v>
      </c>
      <c r="E42" s="447" t="s">
        <v>91</v>
      </c>
      <c r="F42" s="448">
        <v>500.0</v>
      </c>
      <c r="G42" s="449"/>
      <c r="H42" s="450">
        <v>450.0</v>
      </c>
      <c r="I42" s="451">
        <v>500.0</v>
      </c>
      <c r="J42" s="452">
        <v>350.0</v>
      </c>
      <c r="K42" s="453">
        <v>400.0</v>
      </c>
      <c r="L42" s="454">
        <f t="shared" si="1"/>
        <v>400</v>
      </c>
      <c r="M42" s="455">
        <f t="shared" si="2"/>
        <v>535</v>
      </c>
      <c r="N42" s="456">
        <f t="shared" si="3"/>
        <v>305</v>
      </c>
      <c r="O42" s="457">
        <f t="shared" si="4"/>
        <v>370</v>
      </c>
      <c r="P42" s="461"/>
      <c r="Q42" s="461"/>
      <c r="R42" s="461"/>
      <c r="S42" s="461"/>
      <c r="T42" s="451">
        <v>550.0</v>
      </c>
      <c r="U42" s="449"/>
    </row>
    <row r="43">
      <c r="A43" s="48">
        <v>205.0</v>
      </c>
      <c r="B43" s="50" t="s">
        <v>401</v>
      </c>
      <c r="C43" s="50" t="s">
        <v>91</v>
      </c>
      <c r="D43" s="50" t="s">
        <v>296</v>
      </c>
      <c r="E43" s="447" t="s">
        <v>91</v>
      </c>
      <c r="F43" s="448">
        <v>500.0</v>
      </c>
      <c r="G43" s="449"/>
      <c r="H43" s="450">
        <v>450.0</v>
      </c>
      <c r="I43" s="451">
        <v>500.0</v>
      </c>
      <c r="J43" s="452">
        <v>350.0</v>
      </c>
      <c r="K43" s="453">
        <v>400.0</v>
      </c>
      <c r="L43" s="454">
        <f t="shared" si="1"/>
        <v>400</v>
      </c>
      <c r="M43" s="455">
        <f t="shared" si="2"/>
        <v>535</v>
      </c>
      <c r="N43" s="456">
        <f t="shared" si="3"/>
        <v>305</v>
      </c>
      <c r="O43" s="457">
        <f t="shared" si="4"/>
        <v>370</v>
      </c>
      <c r="P43" s="461"/>
      <c r="Q43" s="461"/>
      <c r="R43" s="461"/>
      <c r="S43" s="461"/>
      <c r="T43" s="451">
        <v>550.0</v>
      </c>
      <c r="U43" s="449"/>
    </row>
    <row r="44">
      <c r="A44" s="48">
        <v>207.0</v>
      </c>
      <c r="B44" s="50" t="s">
        <v>99</v>
      </c>
      <c r="C44" s="50" t="s">
        <v>91</v>
      </c>
      <c r="D44" s="50" t="s">
        <v>293</v>
      </c>
      <c r="E44" s="447" t="s">
        <v>91</v>
      </c>
      <c r="F44" s="448">
        <v>500.0</v>
      </c>
      <c r="G44" s="449"/>
      <c r="H44" s="450">
        <v>450.0</v>
      </c>
      <c r="I44" s="451">
        <v>500.0</v>
      </c>
      <c r="J44" s="452">
        <v>350.0</v>
      </c>
      <c r="K44" s="453">
        <v>400.0</v>
      </c>
      <c r="L44" s="454">
        <f t="shared" si="1"/>
        <v>400</v>
      </c>
      <c r="M44" s="455">
        <f t="shared" si="2"/>
        <v>535</v>
      </c>
      <c r="N44" s="456">
        <f t="shared" si="3"/>
        <v>305</v>
      </c>
      <c r="O44" s="457">
        <f t="shared" si="4"/>
        <v>370</v>
      </c>
      <c r="P44" s="461"/>
      <c r="Q44" s="461"/>
      <c r="R44" s="461"/>
      <c r="S44" s="461"/>
      <c r="T44" s="451">
        <v>550.0</v>
      </c>
      <c r="U44" s="449"/>
    </row>
    <row r="45">
      <c r="A45" s="48">
        <v>199.0</v>
      </c>
      <c r="B45" s="50" t="s">
        <v>94</v>
      </c>
      <c r="C45" s="50" t="s">
        <v>91</v>
      </c>
      <c r="D45" s="50" t="s">
        <v>334</v>
      </c>
      <c r="E45" s="447" t="s">
        <v>91</v>
      </c>
      <c r="F45" s="448">
        <v>500.0</v>
      </c>
      <c r="G45" s="449"/>
      <c r="H45" s="450">
        <v>450.0</v>
      </c>
      <c r="I45" s="451">
        <v>500.0</v>
      </c>
      <c r="J45" s="452">
        <v>350.0</v>
      </c>
      <c r="K45" s="453">
        <v>400.0</v>
      </c>
      <c r="L45" s="454">
        <f t="shared" si="1"/>
        <v>400</v>
      </c>
      <c r="M45" s="455">
        <f t="shared" si="2"/>
        <v>535</v>
      </c>
      <c r="N45" s="456">
        <f t="shared" si="3"/>
        <v>305</v>
      </c>
      <c r="O45" s="457">
        <f t="shared" si="4"/>
        <v>370</v>
      </c>
      <c r="P45" s="461"/>
      <c r="Q45" s="461"/>
      <c r="R45" s="461"/>
      <c r="S45" s="461"/>
      <c r="T45" s="451">
        <v>550.0</v>
      </c>
      <c r="U45" s="449"/>
    </row>
    <row r="46">
      <c r="A46" s="48">
        <v>144.0</v>
      </c>
      <c r="B46" s="50" t="s">
        <v>111</v>
      </c>
      <c r="C46" s="50" t="s">
        <v>91</v>
      </c>
      <c r="D46" s="50" t="s">
        <v>321</v>
      </c>
      <c r="E46" s="447" t="s">
        <v>91</v>
      </c>
      <c r="F46" s="448">
        <v>500.0</v>
      </c>
      <c r="G46" s="449"/>
      <c r="H46" s="450">
        <v>450.0</v>
      </c>
      <c r="I46" s="451">
        <v>500.0</v>
      </c>
      <c r="J46" s="452">
        <v>350.0</v>
      </c>
      <c r="K46" s="453">
        <v>400.0</v>
      </c>
      <c r="L46" s="454">
        <f t="shared" si="1"/>
        <v>400</v>
      </c>
      <c r="M46" s="455">
        <f t="shared" si="2"/>
        <v>535</v>
      </c>
      <c r="N46" s="456">
        <f t="shared" si="3"/>
        <v>305</v>
      </c>
      <c r="O46" s="457">
        <f t="shared" si="4"/>
        <v>370</v>
      </c>
      <c r="P46" s="461"/>
      <c r="Q46" s="461"/>
      <c r="R46" s="461"/>
      <c r="S46" s="461"/>
      <c r="T46" s="451">
        <v>550.0</v>
      </c>
      <c r="U46" s="449"/>
    </row>
    <row r="47">
      <c r="A47" s="48">
        <v>191.0</v>
      </c>
      <c r="B47" s="50" t="s">
        <v>403</v>
      </c>
      <c r="C47" s="50" t="s">
        <v>91</v>
      </c>
      <c r="D47" s="50" t="s">
        <v>318</v>
      </c>
      <c r="E47" s="447" t="s">
        <v>91</v>
      </c>
      <c r="F47" s="448">
        <v>500.0</v>
      </c>
      <c r="G47" s="449"/>
      <c r="H47" s="450">
        <v>450.0</v>
      </c>
      <c r="I47" s="451">
        <v>500.0</v>
      </c>
      <c r="J47" s="452">
        <v>350.0</v>
      </c>
      <c r="K47" s="453">
        <v>400.0</v>
      </c>
      <c r="L47" s="454">
        <f t="shared" si="1"/>
        <v>400</v>
      </c>
      <c r="M47" s="455">
        <f t="shared" si="2"/>
        <v>535</v>
      </c>
      <c r="N47" s="456">
        <f t="shared" si="3"/>
        <v>305</v>
      </c>
      <c r="O47" s="457">
        <f t="shared" si="4"/>
        <v>370</v>
      </c>
      <c r="P47" s="461"/>
      <c r="Q47" s="461"/>
      <c r="R47" s="461"/>
      <c r="S47" s="461"/>
      <c r="T47" s="451">
        <v>550.0</v>
      </c>
      <c r="U47" s="449"/>
    </row>
    <row r="48">
      <c r="A48" s="48">
        <v>202.0</v>
      </c>
      <c r="B48" s="50" t="s">
        <v>407</v>
      </c>
      <c r="C48" s="50" t="s">
        <v>91</v>
      </c>
      <c r="D48" s="50" t="s">
        <v>304</v>
      </c>
      <c r="E48" s="447" t="s">
        <v>91</v>
      </c>
      <c r="F48" s="448">
        <v>500.0</v>
      </c>
      <c r="G48" s="449"/>
      <c r="H48" s="450">
        <v>450.0</v>
      </c>
      <c r="I48" s="451">
        <v>500.0</v>
      </c>
      <c r="J48" s="452">
        <v>350.0</v>
      </c>
      <c r="K48" s="453">
        <v>400.0</v>
      </c>
      <c r="L48" s="454">
        <f t="shared" si="1"/>
        <v>400</v>
      </c>
      <c r="M48" s="455">
        <f t="shared" si="2"/>
        <v>535</v>
      </c>
      <c r="N48" s="456">
        <f t="shared" si="3"/>
        <v>305</v>
      </c>
      <c r="O48" s="457">
        <f t="shared" si="4"/>
        <v>370</v>
      </c>
      <c r="P48" s="461"/>
      <c r="Q48" s="461"/>
      <c r="R48" s="461"/>
      <c r="S48" s="461"/>
      <c r="T48" s="451">
        <v>550.0</v>
      </c>
      <c r="U48" s="449"/>
    </row>
    <row r="49">
      <c r="A49" s="48">
        <v>201.0</v>
      </c>
      <c r="B49" s="50" t="s">
        <v>412</v>
      </c>
      <c r="C49" s="50" t="s">
        <v>91</v>
      </c>
      <c r="D49" s="50" t="s">
        <v>310</v>
      </c>
      <c r="E49" s="447" t="s">
        <v>91</v>
      </c>
      <c r="F49" s="448">
        <v>500.0</v>
      </c>
      <c r="G49" s="449"/>
      <c r="H49" s="450">
        <v>450.0</v>
      </c>
      <c r="I49" s="451">
        <v>500.0</v>
      </c>
      <c r="J49" s="452">
        <v>350.0</v>
      </c>
      <c r="K49" s="453">
        <v>400.0</v>
      </c>
      <c r="L49" s="454">
        <f t="shared" si="1"/>
        <v>400</v>
      </c>
      <c r="M49" s="455">
        <f t="shared" si="2"/>
        <v>535</v>
      </c>
      <c r="N49" s="456">
        <f t="shared" si="3"/>
        <v>305</v>
      </c>
      <c r="O49" s="457">
        <f t="shared" si="4"/>
        <v>370</v>
      </c>
      <c r="P49" s="461"/>
      <c r="Q49" s="461"/>
      <c r="R49" s="461"/>
      <c r="S49" s="461"/>
      <c r="T49" s="451">
        <v>550.0</v>
      </c>
      <c r="U49" s="449"/>
    </row>
    <row r="50">
      <c r="A50" s="48">
        <v>117.0</v>
      </c>
      <c r="B50" s="50" t="s">
        <v>417</v>
      </c>
      <c r="C50" s="50" t="s">
        <v>91</v>
      </c>
      <c r="D50" s="50" t="s">
        <v>326</v>
      </c>
      <c r="E50" s="447" t="s">
        <v>91</v>
      </c>
      <c r="F50" s="448">
        <v>500.0</v>
      </c>
      <c r="G50" s="449"/>
      <c r="H50" s="450">
        <v>450.0</v>
      </c>
      <c r="I50" s="451">
        <v>500.0</v>
      </c>
      <c r="J50" s="452">
        <v>350.0</v>
      </c>
      <c r="K50" s="453">
        <v>400.0</v>
      </c>
      <c r="L50" s="454">
        <f t="shared" si="1"/>
        <v>400</v>
      </c>
      <c r="M50" s="455">
        <f t="shared" si="2"/>
        <v>535</v>
      </c>
      <c r="N50" s="456">
        <f t="shared" si="3"/>
        <v>305</v>
      </c>
      <c r="O50" s="457">
        <f t="shared" si="4"/>
        <v>370</v>
      </c>
      <c r="P50" s="461"/>
      <c r="Q50" s="461"/>
      <c r="R50" s="461"/>
      <c r="S50" s="461"/>
      <c r="T50" s="451">
        <v>550.0</v>
      </c>
      <c r="U50" s="449"/>
    </row>
    <row r="51">
      <c r="A51" s="48">
        <v>20.0</v>
      </c>
      <c r="B51" s="50" t="s">
        <v>425</v>
      </c>
      <c r="C51" s="50" t="s">
        <v>83</v>
      </c>
      <c r="D51" s="50" t="s">
        <v>163</v>
      </c>
      <c r="E51" s="447" t="s">
        <v>83</v>
      </c>
      <c r="F51" s="448">
        <v>500.0</v>
      </c>
      <c r="G51" s="449"/>
      <c r="H51" s="450">
        <v>450.0</v>
      </c>
      <c r="I51" s="451">
        <v>500.0</v>
      </c>
      <c r="J51" s="452">
        <v>350.0</v>
      </c>
      <c r="K51" s="453">
        <v>400.0</v>
      </c>
      <c r="L51" s="454">
        <f t="shared" si="1"/>
        <v>400</v>
      </c>
      <c r="M51" s="455">
        <f t="shared" si="2"/>
        <v>535</v>
      </c>
      <c r="N51" s="456">
        <f t="shared" si="3"/>
        <v>305</v>
      </c>
      <c r="O51" s="457">
        <f t="shared" si="4"/>
        <v>370</v>
      </c>
      <c r="P51" s="461"/>
      <c r="Q51" s="461"/>
      <c r="R51" s="461"/>
      <c r="S51" s="461"/>
      <c r="T51" s="451">
        <v>550.0</v>
      </c>
      <c r="U51" s="449"/>
    </row>
    <row r="52">
      <c r="A52" s="48">
        <v>177.0</v>
      </c>
      <c r="B52" s="50" t="s">
        <v>434</v>
      </c>
      <c r="C52" s="50" t="s">
        <v>83</v>
      </c>
      <c r="D52" s="50" t="s">
        <v>160</v>
      </c>
      <c r="E52" s="447" t="s">
        <v>83</v>
      </c>
      <c r="F52" s="448">
        <v>500.0</v>
      </c>
      <c r="G52" s="449"/>
      <c r="H52" s="450">
        <v>450.0</v>
      </c>
      <c r="I52" s="451">
        <v>500.0</v>
      </c>
      <c r="J52" s="452">
        <v>350.0</v>
      </c>
      <c r="K52" s="453">
        <v>400.0</v>
      </c>
      <c r="L52" s="454">
        <f t="shared" si="1"/>
        <v>400</v>
      </c>
      <c r="M52" s="455">
        <f t="shared" si="2"/>
        <v>535</v>
      </c>
      <c r="N52" s="456">
        <f t="shared" si="3"/>
        <v>305</v>
      </c>
      <c r="O52" s="457">
        <f t="shared" si="4"/>
        <v>370</v>
      </c>
      <c r="P52" s="461"/>
      <c r="Q52" s="461"/>
      <c r="R52" s="461"/>
      <c r="S52" s="461"/>
      <c r="T52" s="451">
        <v>550.0</v>
      </c>
      <c r="U52" s="449"/>
    </row>
    <row r="53">
      <c r="A53" s="48">
        <v>21.0</v>
      </c>
      <c r="B53" s="50" t="s">
        <v>441</v>
      </c>
      <c r="C53" s="50" t="s">
        <v>83</v>
      </c>
      <c r="D53" s="50" t="s">
        <v>164</v>
      </c>
      <c r="E53" s="447" t="s">
        <v>83</v>
      </c>
      <c r="F53" s="448">
        <v>500.0</v>
      </c>
      <c r="G53" s="449"/>
      <c r="H53" s="450">
        <v>450.0</v>
      </c>
      <c r="I53" s="451">
        <v>500.0</v>
      </c>
      <c r="J53" s="452">
        <v>350.0</v>
      </c>
      <c r="K53" s="453">
        <v>400.0</v>
      </c>
      <c r="L53" s="454">
        <f t="shared" si="1"/>
        <v>400</v>
      </c>
      <c r="M53" s="455">
        <f t="shared" si="2"/>
        <v>535</v>
      </c>
      <c r="N53" s="456">
        <f t="shared" si="3"/>
        <v>305</v>
      </c>
      <c r="O53" s="457">
        <f t="shared" si="4"/>
        <v>370</v>
      </c>
      <c r="P53" s="461"/>
      <c r="Q53" s="461"/>
      <c r="R53" s="461"/>
      <c r="S53" s="461"/>
      <c r="T53" s="451">
        <v>550.0</v>
      </c>
      <c r="U53" s="449"/>
    </row>
    <row r="54">
      <c r="A54" s="48">
        <v>120.0</v>
      </c>
      <c r="B54" s="50" t="s">
        <v>446</v>
      </c>
      <c r="C54" s="50" t="s">
        <v>186</v>
      </c>
      <c r="D54" s="50" t="s">
        <v>72</v>
      </c>
      <c r="E54" s="447" t="s">
        <v>43</v>
      </c>
      <c r="F54" s="448">
        <v>499.0</v>
      </c>
      <c r="G54" s="449"/>
      <c r="H54" s="450">
        <v>449.0</v>
      </c>
      <c r="I54" s="451">
        <v>499.0</v>
      </c>
      <c r="J54" s="452">
        <v>349.0</v>
      </c>
      <c r="K54" s="453">
        <v>399.0</v>
      </c>
      <c r="L54" s="454">
        <f t="shared" si="1"/>
        <v>399.2</v>
      </c>
      <c r="M54" s="455">
        <f t="shared" si="2"/>
        <v>533.93</v>
      </c>
      <c r="N54" s="456">
        <f t="shared" si="3"/>
        <v>304.39</v>
      </c>
      <c r="O54" s="457">
        <f t="shared" si="4"/>
        <v>369.26</v>
      </c>
      <c r="P54" s="461"/>
      <c r="Q54" s="461"/>
      <c r="R54" s="461"/>
      <c r="S54" s="461"/>
      <c r="T54" s="451">
        <v>549.0</v>
      </c>
      <c r="U54" s="449"/>
    </row>
    <row r="55">
      <c r="A55" s="48">
        <v>25.0</v>
      </c>
      <c r="B55" s="50" t="s">
        <v>451</v>
      </c>
      <c r="C55" s="50" t="s">
        <v>186</v>
      </c>
      <c r="D55" s="50" t="s">
        <v>161</v>
      </c>
      <c r="E55" s="447" t="s">
        <v>186</v>
      </c>
      <c r="F55" s="448">
        <v>499.0</v>
      </c>
      <c r="G55" s="449"/>
      <c r="H55" s="450">
        <v>449.0</v>
      </c>
      <c r="I55" s="451">
        <v>499.0</v>
      </c>
      <c r="J55" s="452">
        <v>349.0</v>
      </c>
      <c r="K55" s="453">
        <v>399.0</v>
      </c>
      <c r="L55" s="454">
        <f t="shared" si="1"/>
        <v>399.2</v>
      </c>
      <c r="M55" s="455">
        <f t="shared" si="2"/>
        <v>533.93</v>
      </c>
      <c r="N55" s="456">
        <f t="shared" si="3"/>
        <v>304.39</v>
      </c>
      <c r="O55" s="457">
        <f t="shared" si="4"/>
        <v>369.26</v>
      </c>
      <c r="P55" s="461"/>
      <c r="Q55" s="461"/>
      <c r="R55" s="461"/>
      <c r="S55" s="461"/>
      <c r="T55" s="451">
        <v>549.0</v>
      </c>
      <c r="U55" s="449"/>
    </row>
    <row r="56">
      <c r="A56" s="48">
        <v>110.0</v>
      </c>
      <c r="B56" s="50" t="s">
        <v>454</v>
      </c>
      <c r="C56" s="50" t="s">
        <v>186</v>
      </c>
      <c r="D56" s="50" t="s">
        <v>495</v>
      </c>
      <c r="E56" s="447" t="s">
        <v>186</v>
      </c>
      <c r="F56" s="448">
        <v>499.0</v>
      </c>
      <c r="G56" s="449"/>
      <c r="H56" s="450">
        <v>449.0</v>
      </c>
      <c r="I56" s="451">
        <v>499.0</v>
      </c>
      <c r="J56" s="452">
        <v>349.0</v>
      </c>
      <c r="K56" s="453">
        <v>399.0</v>
      </c>
      <c r="L56" s="454">
        <f t="shared" si="1"/>
        <v>399.2</v>
      </c>
      <c r="M56" s="455">
        <f t="shared" si="2"/>
        <v>533.93</v>
      </c>
      <c r="N56" s="456">
        <f t="shared" si="3"/>
        <v>304.39</v>
      </c>
      <c r="O56" s="457">
        <f t="shared" si="4"/>
        <v>369.26</v>
      </c>
      <c r="P56" s="461"/>
      <c r="Q56" s="461"/>
      <c r="R56" s="461"/>
      <c r="S56" s="461"/>
      <c r="T56" s="451">
        <v>549.0</v>
      </c>
      <c r="U56" s="449"/>
    </row>
    <row r="57">
      <c r="A57" s="48">
        <v>122.0</v>
      </c>
      <c r="B57" s="50" t="s">
        <v>457</v>
      </c>
      <c r="C57" s="50" t="s">
        <v>186</v>
      </c>
      <c r="D57" s="50" t="s">
        <v>70</v>
      </c>
      <c r="E57" s="447" t="s">
        <v>43</v>
      </c>
      <c r="F57" s="448">
        <v>499.0</v>
      </c>
      <c r="G57" s="449"/>
      <c r="H57" s="450">
        <v>449.0</v>
      </c>
      <c r="I57" s="451">
        <v>499.0</v>
      </c>
      <c r="J57" s="452">
        <v>349.0</v>
      </c>
      <c r="K57" s="453">
        <v>399.0</v>
      </c>
      <c r="L57" s="454">
        <f t="shared" si="1"/>
        <v>399.2</v>
      </c>
      <c r="M57" s="455">
        <f t="shared" si="2"/>
        <v>533.93</v>
      </c>
      <c r="N57" s="456">
        <f t="shared" si="3"/>
        <v>304.39</v>
      </c>
      <c r="O57" s="457">
        <f t="shared" si="4"/>
        <v>369.26</v>
      </c>
      <c r="P57" s="461"/>
      <c r="Q57" s="461"/>
      <c r="R57" s="461"/>
      <c r="S57" s="461"/>
      <c r="T57" s="451">
        <v>549.0</v>
      </c>
      <c r="U57" s="449"/>
    </row>
    <row r="58">
      <c r="A58" s="48">
        <v>77.0</v>
      </c>
      <c r="B58" s="50" t="s">
        <v>460</v>
      </c>
      <c r="C58" s="50" t="s">
        <v>186</v>
      </c>
      <c r="D58" s="50" t="s">
        <v>184</v>
      </c>
      <c r="E58" s="447" t="s">
        <v>168</v>
      </c>
      <c r="F58" s="448">
        <v>400.0</v>
      </c>
      <c r="G58" s="449"/>
      <c r="H58" s="450">
        <v>350.0</v>
      </c>
      <c r="I58" s="451">
        <v>400.0</v>
      </c>
      <c r="J58" s="452">
        <v>275.0</v>
      </c>
      <c r="K58" s="453">
        <v>325.0</v>
      </c>
      <c r="L58" s="454">
        <f t="shared" si="1"/>
        <v>320</v>
      </c>
      <c r="M58" s="455">
        <f t="shared" si="2"/>
        <v>428</v>
      </c>
      <c r="N58" s="456">
        <f t="shared" si="3"/>
        <v>244</v>
      </c>
      <c r="O58" s="457">
        <f t="shared" si="4"/>
        <v>296</v>
      </c>
      <c r="P58" s="461"/>
      <c r="Q58" s="461"/>
      <c r="R58" s="461"/>
      <c r="S58" s="461"/>
      <c r="T58" s="451">
        <v>450.0</v>
      </c>
      <c r="U58" s="449"/>
    </row>
    <row r="59">
      <c r="A59" s="48">
        <v>40.0</v>
      </c>
      <c r="B59" s="50" t="s">
        <v>464</v>
      </c>
      <c r="C59" s="50" t="s">
        <v>91</v>
      </c>
      <c r="D59" s="50" t="s">
        <v>281</v>
      </c>
      <c r="E59" s="447" t="s">
        <v>91</v>
      </c>
      <c r="F59" s="448">
        <v>400.0</v>
      </c>
      <c r="G59" s="449"/>
      <c r="H59" s="450">
        <v>350.0</v>
      </c>
      <c r="I59" s="451">
        <v>400.0</v>
      </c>
      <c r="J59" s="452">
        <v>275.0</v>
      </c>
      <c r="K59" s="453">
        <v>325.0</v>
      </c>
      <c r="L59" s="454">
        <f t="shared" si="1"/>
        <v>320</v>
      </c>
      <c r="M59" s="455">
        <f t="shared" si="2"/>
        <v>428</v>
      </c>
      <c r="N59" s="456">
        <f t="shared" si="3"/>
        <v>244</v>
      </c>
      <c r="O59" s="457">
        <f t="shared" si="4"/>
        <v>296</v>
      </c>
      <c r="P59" s="461"/>
      <c r="Q59" s="461"/>
      <c r="R59" s="461"/>
      <c r="S59" s="461"/>
      <c r="T59" s="451">
        <v>450.0</v>
      </c>
      <c r="U59" s="449"/>
    </row>
    <row r="60">
      <c r="A60" s="48">
        <v>121.0</v>
      </c>
      <c r="B60" s="50" t="s">
        <v>465</v>
      </c>
      <c r="C60" s="50" t="s">
        <v>186</v>
      </c>
      <c r="D60" s="50" t="s">
        <v>1068</v>
      </c>
      <c r="E60" s="447" t="s">
        <v>78</v>
      </c>
      <c r="F60" s="448">
        <v>399.0</v>
      </c>
      <c r="G60" s="449"/>
      <c r="H60" s="450">
        <v>349.0</v>
      </c>
      <c r="I60" s="451">
        <v>399.0</v>
      </c>
      <c r="J60" s="452">
        <v>275.0</v>
      </c>
      <c r="K60" s="453">
        <v>325.0</v>
      </c>
      <c r="L60" s="454">
        <f t="shared" si="1"/>
        <v>319.2</v>
      </c>
      <c r="M60" s="455">
        <f t="shared" si="2"/>
        <v>426.93</v>
      </c>
      <c r="N60" s="456">
        <f t="shared" si="3"/>
        <v>243.39</v>
      </c>
      <c r="O60" s="457">
        <f t="shared" si="4"/>
        <v>295.26</v>
      </c>
      <c r="P60" s="461"/>
      <c r="Q60" s="461"/>
      <c r="R60" s="461"/>
      <c r="S60" s="461"/>
      <c r="T60" s="451">
        <v>449.0</v>
      </c>
      <c r="U60" s="449"/>
    </row>
    <row r="61">
      <c r="A61" s="48">
        <v>109.0</v>
      </c>
      <c r="B61" s="50" t="s">
        <v>472</v>
      </c>
      <c r="C61" s="50" t="s">
        <v>186</v>
      </c>
      <c r="D61" s="50" t="s">
        <v>490</v>
      </c>
      <c r="E61" s="447" t="s">
        <v>186</v>
      </c>
      <c r="F61" s="448">
        <v>399.0</v>
      </c>
      <c r="G61" s="449"/>
      <c r="H61" s="450">
        <v>349.0</v>
      </c>
      <c r="I61" s="451">
        <v>399.0</v>
      </c>
      <c r="J61" s="452">
        <v>275.0</v>
      </c>
      <c r="K61" s="453">
        <v>325.0</v>
      </c>
      <c r="L61" s="454">
        <f t="shared" si="1"/>
        <v>319.2</v>
      </c>
      <c r="M61" s="455">
        <f t="shared" si="2"/>
        <v>426.93</v>
      </c>
      <c r="N61" s="456">
        <f t="shared" si="3"/>
        <v>243.39</v>
      </c>
      <c r="O61" s="457">
        <f t="shared" si="4"/>
        <v>295.26</v>
      </c>
      <c r="P61" s="461"/>
      <c r="Q61" s="461"/>
      <c r="R61" s="461"/>
      <c r="S61" s="461"/>
      <c r="T61" s="451">
        <v>449.0</v>
      </c>
      <c r="U61" s="449"/>
    </row>
    <row r="62">
      <c r="A62" s="48">
        <v>225.0</v>
      </c>
      <c r="B62" s="50" t="s">
        <v>476</v>
      </c>
      <c r="C62" s="50" t="s">
        <v>186</v>
      </c>
      <c r="D62" s="50" t="s">
        <v>469</v>
      </c>
      <c r="E62" s="447" t="s">
        <v>186</v>
      </c>
      <c r="F62" s="448">
        <v>299.0</v>
      </c>
      <c r="G62" s="449"/>
      <c r="H62" s="450">
        <v>275.0</v>
      </c>
      <c r="I62" s="451">
        <v>299.0</v>
      </c>
      <c r="J62" s="452">
        <v>199.0</v>
      </c>
      <c r="K62" s="453">
        <v>249.0</v>
      </c>
      <c r="L62" s="509">
        <f t="shared" si="1"/>
        <v>239.2</v>
      </c>
      <c r="M62" s="455">
        <f t="shared" si="2"/>
        <v>319.93</v>
      </c>
      <c r="N62" s="456">
        <f t="shared" si="3"/>
        <v>182.39</v>
      </c>
      <c r="O62" s="457">
        <f t="shared" si="4"/>
        <v>221.26</v>
      </c>
      <c r="P62" s="461"/>
      <c r="Q62" s="461"/>
      <c r="R62" s="461"/>
      <c r="S62" s="461"/>
      <c r="T62" s="451">
        <v>349.0</v>
      </c>
      <c r="U62" s="449"/>
    </row>
    <row r="63">
      <c r="A63" s="48">
        <v>131.0</v>
      </c>
      <c r="B63" s="50" t="s">
        <v>482</v>
      </c>
      <c r="C63" s="50" t="s">
        <v>186</v>
      </c>
      <c r="D63" s="50" t="s">
        <v>101</v>
      </c>
      <c r="E63" s="447" t="s">
        <v>78</v>
      </c>
      <c r="F63" s="448">
        <v>250.0</v>
      </c>
      <c r="G63" s="449"/>
      <c r="H63" s="450">
        <v>225.0</v>
      </c>
      <c r="I63" s="451">
        <v>250.0</v>
      </c>
      <c r="J63" s="452">
        <v>175.0</v>
      </c>
      <c r="K63" s="453">
        <v>200.0</v>
      </c>
      <c r="L63" s="510">
        <f t="shared" si="1"/>
        <v>200</v>
      </c>
      <c r="M63" s="455">
        <f t="shared" si="2"/>
        <v>267.5</v>
      </c>
      <c r="N63" s="456">
        <f t="shared" si="3"/>
        <v>152.5</v>
      </c>
      <c r="O63" s="457">
        <f t="shared" si="4"/>
        <v>185</v>
      </c>
      <c r="P63" s="461"/>
      <c r="Q63" s="461"/>
      <c r="R63" s="461"/>
      <c r="S63" s="461"/>
      <c r="T63" s="451">
        <v>275.0</v>
      </c>
      <c r="U63" s="449"/>
    </row>
    <row r="64">
      <c r="A64" s="48">
        <v>32.0</v>
      </c>
      <c r="B64" s="50" t="s">
        <v>489</v>
      </c>
      <c r="C64" s="50" t="s">
        <v>186</v>
      </c>
      <c r="D64" s="50" t="s">
        <v>106</v>
      </c>
      <c r="E64" s="447" t="s">
        <v>78</v>
      </c>
      <c r="F64" s="448">
        <v>250.0</v>
      </c>
      <c r="G64" s="449"/>
      <c r="H64" s="450">
        <v>225.0</v>
      </c>
      <c r="I64" s="451">
        <v>250.0</v>
      </c>
      <c r="J64" s="452">
        <v>175.0</v>
      </c>
      <c r="K64" s="453">
        <v>200.0</v>
      </c>
      <c r="L64" s="509">
        <f t="shared" si="1"/>
        <v>200</v>
      </c>
      <c r="M64" s="455">
        <f t="shared" si="2"/>
        <v>267.5</v>
      </c>
      <c r="N64" s="456">
        <f t="shared" si="3"/>
        <v>152.5</v>
      </c>
      <c r="O64" s="457">
        <f t="shared" si="4"/>
        <v>185</v>
      </c>
      <c r="P64" s="461"/>
      <c r="Q64" s="461"/>
      <c r="R64" s="461"/>
      <c r="S64" s="461"/>
      <c r="T64" s="451">
        <v>275.0</v>
      </c>
      <c r="U64" s="449"/>
    </row>
    <row r="65">
      <c r="A65" s="48">
        <v>33.0</v>
      </c>
      <c r="B65" s="50" t="s">
        <v>496</v>
      </c>
      <c r="C65" s="50" t="s">
        <v>186</v>
      </c>
      <c r="D65" s="50" t="s">
        <v>104</v>
      </c>
      <c r="E65" s="447" t="s">
        <v>78</v>
      </c>
      <c r="F65" s="448">
        <v>250.0</v>
      </c>
      <c r="G65" s="449"/>
      <c r="H65" s="450">
        <v>225.0</v>
      </c>
      <c r="I65" s="451">
        <v>250.0</v>
      </c>
      <c r="J65" s="452">
        <v>175.0</v>
      </c>
      <c r="K65" s="453">
        <v>200.0</v>
      </c>
      <c r="L65" s="510">
        <f t="shared" si="1"/>
        <v>200</v>
      </c>
      <c r="M65" s="455">
        <f t="shared" si="2"/>
        <v>267.5</v>
      </c>
      <c r="N65" s="456">
        <f t="shared" si="3"/>
        <v>152.5</v>
      </c>
      <c r="O65" s="457">
        <f t="shared" si="4"/>
        <v>185</v>
      </c>
      <c r="P65" s="461"/>
      <c r="Q65" s="461"/>
      <c r="R65" s="461"/>
      <c r="S65" s="461"/>
      <c r="T65" s="451">
        <v>275.0</v>
      </c>
      <c r="U65" s="449"/>
    </row>
    <row r="66">
      <c r="A66" s="48">
        <v>10.0</v>
      </c>
      <c r="B66" s="50" t="s">
        <v>501</v>
      </c>
      <c r="C66" s="50" t="s">
        <v>186</v>
      </c>
      <c r="D66" s="50" t="s">
        <v>110</v>
      </c>
      <c r="E66" s="447" t="s">
        <v>78</v>
      </c>
      <c r="F66" s="448">
        <v>250.0</v>
      </c>
      <c r="G66" s="449"/>
      <c r="H66" s="450">
        <v>225.0</v>
      </c>
      <c r="I66" s="451">
        <v>250.0</v>
      </c>
      <c r="J66" s="452">
        <v>175.0</v>
      </c>
      <c r="K66" s="453">
        <v>200.0</v>
      </c>
      <c r="L66" s="454">
        <f t="shared" si="1"/>
        <v>200</v>
      </c>
      <c r="M66" s="455">
        <f t="shared" si="2"/>
        <v>267.5</v>
      </c>
      <c r="N66" s="456">
        <f t="shared" si="3"/>
        <v>152.5</v>
      </c>
      <c r="O66" s="457">
        <f t="shared" si="4"/>
        <v>185</v>
      </c>
      <c r="P66" s="461"/>
      <c r="Q66" s="461"/>
      <c r="R66" s="461"/>
      <c r="S66" s="461"/>
      <c r="T66" s="451">
        <v>275.0</v>
      </c>
      <c r="U66" s="449"/>
    </row>
    <row r="67">
      <c r="A67" s="48">
        <v>22.0</v>
      </c>
      <c r="B67" s="50" t="s">
        <v>506</v>
      </c>
      <c r="C67" s="50" t="s">
        <v>186</v>
      </c>
      <c r="D67" s="50" t="s">
        <v>100</v>
      </c>
      <c r="E67" s="447" t="s">
        <v>78</v>
      </c>
      <c r="F67" s="448">
        <v>250.0</v>
      </c>
      <c r="G67" s="449"/>
      <c r="H67" s="450">
        <v>225.0</v>
      </c>
      <c r="I67" s="451">
        <v>250.0</v>
      </c>
      <c r="J67" s="452">
        <v>175.0</v>
      </c>
      <c r="K67" s="453">
        <v>200.0</v>
      </c>
      <c r="L67" s="454">
        <f t="shared" si="1"/>
        <v>200</v>
      </c>
      <c r="M67" s="455">
        <f t="shared" si="2"/>
        <v>267.5</v>
      </c>
      <c r="N67" s="456">
        <f t="shared" si="3"/>
        <v>152.5</v>
      </c>
      <c r="O67" s="457">
        <f t="shared" si="4"/>
        <v>185</v>
      </c>
      <c r="P67" s="461"/>
      <c r="Q67" s="461"/>
      <c r="R67" s="461"/>
      <c r="S67" s="461"/>
      <c r="T67" s="451">
        <v>275.0</v>
      </c>
      <c r="U67" s="449"/>
    </row>
    <row r="68">
      <c r="A68" s="48">
        <v>28.0</v>
      </c>
      <c r="B68" s="50" t="s">
        <v>507</v>
      </c>
      <c r="C68" s="50" t="s">
        <v>186</v>
      </c>
      <c r="D68" s="50" t="s">
        <v>109</v>
      </c>
      <c r="E68" s="447" t="s">
        <v>78</v>
      </c>
      <c r="F68" s="448">
        <v>250.0</v>
      </c>
      <c r="G68" s="449"/>
      <c r="H68" s="450">
        <v>225.0</v>
      </c>
      <c r="I68" s="451">
        <v>250.0</v>
      </c>
      <c r="J68" s="452">
        <v>175.0</v>
      </c>
      <c r="K68" s="453">
        <v>200.0</v>
      </c>
      <c r="L68" s="454">
        <f t="shared" si="1"/>
        <v>200</v>
      </c>
      <c r="M68" s="455">
        <f t="shared" si="2"/>
        <v>267.5</v>
      </c>
      <c r="N68" s="456">
        <f t="shared" si="3"/>
        <v>152.5</v>
      </c>
      <c r="O68" s="457">
        <f t="shared" si="4"/>
        <v>185</v>
      </c>
      <c r="P68" s="461"/>
      <c r="Q68" s="461"/>
      <c r="R68" s="461"/>
      <c r="S68" s="461"/>
      <c r="T68" s="451">
        <v>275.0</v>
      </c>
      <c r="U68" s="449"/>
    </row>
    <row r="69">
      <c r="A69" s="48">
        <v>124.0</v>
      </c>
      <c r="B69" s="50" t="s">
        <v>509</v>
      </c>
      <c r="C69" s="50" t="s">
        <v>186</v>
      </c>
      <c r="D69" s="50" t="s">
        <v>466</v>
      </c>
      <c r="E69" s="447" t="s">
        <v>186</v>
      </c>
      <c r="F69" s="448">
        <v>250.0</v>
      </c>
      <c r="G69" s="449"/>
      <c r="H69" s="450">
        <v>225.0</v>
      </c>
      <c r="I69" s="451">
        <v>250.0</v>
      </c>
      <c r="J69" s="452">
        <v>175.0</v>
      </c>
      <c r="K69" s="453">
        <v>200.0</v>
      </c>
      <c r="L69" s="454">
        <f t="shared" si="1"/>
        <v>200</v>
      </c>
      <c r="M69" s="455">
        <f t="shared" si="2"/>
        <v>267.5</v>
      </c>
      <c r="N69" s="456">
        <f t="shared" si="3"/>
        <v>152.5</v>
      </c>
      <c r="O69" s="457">
        <f t="shared" si="4"/>
        <v>185</v>
      </c>
      <c r="P69" s="461"/>
      <c r="Q69" s="461"/>
      <c r="R69" s="461"/>
      <c r="S69" s="461"/>
      <c r="T69" s="451">
        <v>275.0</v>
      </c>
      <c r="U69" s="449"/>
    </row>
    <row r="70">
      <c r="A70" s="48">
        <v>196.0</v>
      </c>
      <c r="B70" s="50" t="s">
        <v>512</v>
      </c>
      <c r="C70" s="50" t="s">
        <v>91</v>
      </c>
      <c r="D70" s="50" t="s">
        <v>1070</v>
      </c>
      <c r="E70" s="447" t="s">
        <v>91</v>
      </c>
      <c r="F70" s="448">
        <v>250.0</v>
      </c>
      <c r="G70" s="449"/>
      <c r="H70" s="450">
        <v>225.0</v>
      </c>
      <c r="I70" s="451">
        <v>250.0</v>
      </c>
      <c r="J70" s="452">
        <v>175.0</v>
      </c>
      <c r="K70" s="453">
        <v>200.0</v>
      </c>
      <c r="L70" s="454">
        <f t="shared" si="1"/>
        <v>200</v>
      </c>
      <c r="M70" s="455">
        <f t="shared" si="2"/>
        <v>267.5</v>
      </c>
      <c r="N70" s="456">
        <f t="shared" si="3"/>
        <v>152.5</v>
      </c>
      <c r="O70" s="457">
        <f t="shared" si="4"/>
        <v>185</v>
      </c>
      <c r="P70" s="461"/>
      <c r="Q70" s="461"/>
      <c r="R70" s="461"/>
      <c r="S70" s="461"/>
      <c r="T70" s="451">
        <v>275.0</v>
      </c>
      <c r="U70" s="449"/>
    </row>
    <row r="71">
      <c r="A71" s="48">
        <v>57.0</v>
      </c>
      <c r="B71" s="50" t="s">
        <v>515</v>
      </c>
      <c r="C71" s="50" t="s">
        <v>91</v>
      </c>
      <c r="D71" s="50" t="s">
        <v>236</v>
      </c>
      <c r="E71" s="447" t="s">
        <v>91</v>
      </c>
      <c r="F71" s="448">
        <v>250.0</v>
      </c>
      <c r="G71" s="449"/>
      <c r="H71" s="450">
        <v>225.0</v>
      </c>
      <c r="I71" s="451">
        <v>250.0</v>
      </c>
      <c r="J71" s="452">
        <v>175.0</v>
      </c>
      <c r="K71" s="453">
        <v>200.0</v>
      </c>
      <c r="L71" s="454">
        <f t="shared" si="1"/>
        <v>200</v>
      </c>
      <c r="M71" s="455">
        <f t="shared" si="2"/>
        <v>267.5</v>
      </c>
      <c r="N71" s="456">
        <f t="shared" si="3"/>
        <v>152.5</v>
      </c>
      <c r="O71" s="457">
        <f t="shared" si="4"/>
        <v>185</v>
      </c>
      <c r="P71" s="461"/>
      <c r="Q71" s="461"/>
      <c r="R71" s="461"/>
      <c r="S71" s="461"/>
      <c r="T71" s="451">
        <v>275.0</v>
      </c>
      <c r="U71" s="449"/>
    </row>
    <row r="72">
      <c r="A72" s="48">
        <v>129.0</v>
      </c>
      <c r="B72" s="50" t="s">
        <v>518</v>
      </c>
      <c r="C72" s="50" t="s">
        <v>91</v>
      </c>
      <c r="D72" s="50" t="s">
        <v>232</v>
      </c>
      <c r="E72" s="447" t="s">
        <v>91</v>
      </c>
      <c r="F72" s="448">
        <v>250.0</v>
      </c>
      <c r="G72" s="449"/>
      <c r="H72" s="450">
        <v>225.0</v>
      </c>
      <c r="I72" s="451">
        <v>250.0</v>
      </c>
      <c r="J72" s="452">
        <v>175.0</v>
      </c>
      <c r="K72" s="453">
        <v>200.0</v>
      </c>
      <c r="L72" s="454">
        <f t="shared" si="1"/>
        <v>200</v>
      </c>
      <c r="M72" s="455">
        <f t="shared" si="2"/>
        <v>267.5</v>
      </c>
      <c r="N72" s="456">
        <f t="shared" si="3"/>
        <v>152.5</v>
      </c>
      <c r="O72" s="457">
        <f t="shared" si="4"/>
        <v>185</v>
      </c>
      <c r="P72" s="461"/>
      <c r="Q72" s="461"/>
      <c r="R72" s="461"/>
      <c r="S72" s="461"/>
      <c r="T72" s="451">
        <v>275.0</v>
      </c>
      <c r="U72" s="449"/>
    </row>
    <row r="73">
      <c r="A73" s="48">
        <v>211.0</v>
      </c>
      <c r="B73" s="50" t="s">
        <v>520</v>
      </c>
      <c r="C73" s="50" t="s">
        <v>91</v>
      </c>
      <c r="D73" s="50" t="s">
        <v>218</v>
      </c>
      <c r="E73" s="447" t="s">
        <v>91</v>
      </c>
      <c r="F73" s="448">
        <v>250.0</v>
      </c>
      <c r="G73" s="449"/>
      <c r="H73" s="450">
        <v>225.0</v>
      </c>
      <c r="I73" s="451">
        <v>250.0</v>
      </c>
      <c r="J73" s="452">
        <v>175.0</v>
      </c>
      <c r="K73" s="453">
        <v>200.0</v>
      </c>
      <c r="L73" s="454">
        <f t="shared" si="1"/>
        <v>200</v>
      </c>
      <c r="M73" s="455">
        <f t="shared" si="2"/>
        <v>267.5</v>
      </c>
      <c r="N73" s="456">
        <f t="shared" si="3"/>
        <v>152.5</v>
      </c>
      <c r="O73" s="457">
        <f t="shared" si="4"/>
        <v>185</v>
      </c>
      <c r="P73" s="461"/>
      <c r="Q73" s="461"/>
      <c r="R73" s="461"/>
      <c r="S73" s="461"/>
      <c r="T73" s="451">
        <v>275.0</v>
      </c>
      <c r="U73" s="449"/>
    </row>
    <row r="74">
      <c r="A74" s="48">
        <v>203.0</v>
      </c>
      <c r="B74" s="50" t="s">
        <v>523</v>
      </c>
      <c r="C74" s="50" t="s">
        <v>91</v>
      </c>
      <c r="D74" s="50" t="s">
        <v>224</v>
      </c>
      <c r="E74" s="447" t="s">
        <v>91</v>
      </c>
      <c r="F74" s="448">
        <v>250.0</v>
      </c>
      <c r="G74" s="449"/>
      <c r="H74" s="450">
        <v>225.0</v>
      </c>
      <c r="I74" s="451">
        <v>250.0</v>
      </c>
      <c r="J74" s="452">
        <v>175.0</v>
      </c>
      <c r="K74" s="453">
        <v>200.0</v>
      </c>
      <c r="L74" s="454">
        <f t="shared" si="1"/>
        <v>200</v>
      </c>
      <c r="M74" s="455">
        <f t="shared" si="2"/>
        <v>267.5</v>
      </c>
      <c r="N74" s="456">
        <f t="shared" si="3"/>
        <v>152.5</v>
      </c>
      <c r="O74" s="457">
        <f t="shared" si="4"/>
        <v>185</v>
      </c>
      <c r="P74" s="461"/>
      <c r="Q74" s="461"/>
      <c r="R74" s="461"/>
      <c r="S74" s="461"/>
      <c r="T74" s="451">
        <v>275.0</v>
      </c>
      <c r="U74" s="449"/>
    </row>
    <row r="75">
      <c r="A75" s="48">
        <v>178.0</v>
      </c>
      <c r="B75" s="50" t="s">
        <v>525</v>
      </c>
      <c r="C75" s="50" t="s">
        <v>91</v>
      </c>
      <c r="D75" s="50" t="s">
        <v>593</v>
      </c>
      <c r="E75" s="447" t="s">
        <v>91</v>
      </c>
      <c r="F75" s="448">
        <v>250.0</v>
      </c>
      <c r="G75" s="449"/>
      <c r="H75" s="450">
        <v>225.0</v>
      </c>
      <c r="I75" s="451">
        <v>250.0</v>
      </c>
      <c r="J75" s="452">
        <v>175.0</v>
      </c>
      <c r="K75" s="453">
        <v>200.0</v>
      </c>
      <c r="L75" s="454">
        <f t="shared" si="1"/>
        <v>200</v>
      </c>
      <c r="M75" s="455">
        <f t="shared" si="2"/>
        <v>267.5</v>
      </c>
      <c r="N75" s="456">
        <f t="shared" si="3"/>
        <v>152.5</v>
      </c>
      <c r="O75" s="457">
        <f t="shared" si="4"/>
        <v>185</v>
      </c>
      <c r="P75" s="461"/>
      <c r="Q75" s="461"/>
      <c r="R75" s="461"/>
      <c r="S75" s="461"/>
      <c r="T75" s="451">
        <v>275.0</v>
      </c>
      <c r="U75" s="449"/>
    </row>
    <row r="76">
      <c r="A76" s="48">
        <v>197.0</v>
      </c>
      <c r="B76" s="50" t="s">
        <v>528</v>
      </c>
      <c r="C76" s="50" t="s">
        <v>91</v>
      </c>
      <c r="D76" s="50" t="s">
        <v>254</v>
      </c>
      <c r="E76" s="447" t="s">
        <v>91</v>
      </c>
      <c r="F76" s="448">
        <v>250.0</v>
      </c>
      <c r="G76" s="449"/>
      <c r="H76" s="450">
        <v>225.0</v>
      </c>
      <c r="I76" s="451">
        <v>250.0</v>
      </c>
      <c r="J76" s="452">
        <v>175.0</v>
      </c>
      <c r="K76" s="453">
        <v>200.0</v>
      </c>
      <c r="L76" s="454">
        <f t="shared" si="1"/>
        <v>200</v>
      </c>
      <c r="M76" s="455">
        <f t="shared" si="2"/>
        <v>267.5</v>
      </c>
      <c r="N76" s="456">
        <f t="shared" si="3"/>
        <v>152.5</v>
      </c>
      <c r="O76" s="457">
        <f t="shared" si="4"/>
        <v>185</v>
      </c>
      <c r="P76" s="461"/>
      <c r="Q76" s="461"/>
      <c r="R76" s="461"/>
      <c r="S76" s="461"/>
      <c r="T76" s="451">
        <v>275.0</v>
      </c>
      <c r="U76" s="449"/>
    </row>
    <row r="77">
      <c r="A77" s="48">
        <v>198.0</v>
      </c>
      <c r="B77" s="50" t="s">
        <v>531</v>
      </c>
      <c r="C77" s="50" t="s">
        <v>91</v>
      </c>
      <c r="D77" s="50" t="s">
        <v>272</v>
      </c>
      <c r="E77" s="447" t="s">
        <v>91</v>
      </c>
      <c r="F77" s="448">
        <v>250.0</v>
      </c>
      <c r="G77" s="449"/>
      <c r="H77" s="450">
        <v>225.0</v>
      </c>
      <c r="I77" s="451">
        <v>250.0</v>
      </c>
      <c r="J77" s="452">
        <v>175.0</v>
      </c>
      <c r="K77" s="453">
        <v>200.0</v>
      </c>
      <c r="L77" s="454">
        <f t="shared" si="1"/>
        <v>200</v>
      </c>
      <c r="M77" s="455">
        <f t="shared" si="2"/>
        <v>267.5</v>
      </c>
      <c r="N77" s="456">
        <f t="shared" si="3"/>
        <v>152.5</v>
      </c>
      <c r="O77" s="457">
        <f t="shared" si="4"/>
        <v>185</v>
      </c>
      <c r="P77" s="461"/>
      <c r="Q77" s="461"/>
      <c r="R77" s="461"/>
      <c r="S77" s="461"/>
      <c r="T77" s="451">
        <v>275.0</v>
      </c>
      <c r="U77" s="449"/>
    </row>
    <row r="78">
      <c r="A78" s="48">
        <v>49.0</v>
      </c>
      <c r="B78" s="50" t="s">
        <v>534</v>
      </c>
      <c r="C78" s="50" t="s">
        <v>91</v>
      </c>
      <c r="D78" s="50" t="s">
        <v>246</v>
      </c>
      <c r="E78" s="447" t="s">
        <v>91</v>
      </c>
      <c r="F78" s="448">
        <v>250.0</v>
      </c>
      <c r="G78" s="449"/>
      <c r="H78" s="450">
        <v>225.0</v>
      </c>
      <c r="I78" s="451">
        <v>250.0</v>
      </c>
      <c r="J78" s="452">
        <v>175.0</v>
      </c>
      <c r="K78" s="453">
        <v>200.0</v>
      </c>
      <c r="L78" s="454">
        <f t="shared" si="1"/>
        <v>200</v>
      </c>
      <c r="M78" s="455">
        <f t="shared" si="2"/>
        <v>267.5</v>
      </c>
      <c r="N78" s="456">
        <f t="shared" si="3"/>
        <v>152.5</v>
      </c>
      <c r="O78" s="457">
        <f t="shared" si="4"/>
        <v>185</v>
      </c>
      <c r="P78" s="461"/>
      <c r="Q78" s="461"/>
      <c r="R78" s="461"/>
      <c r="S78" s="461"/>
      <c r="T78" s="451">
        <v>275.0</v>
      </c>
      <c r="U78" s="449"/>
    </row>
    <row r="79">
      <c r="A79" s="48">
        <v>200.0</v>
      </c>
      <c r="B79" s="50" t="s">
        <v>535</v>
      </c>
      <c r="C79" s="50" t="s">
        <v>91</v>
      </c>
      <c r="D79" s="50" t="s">
        <v>242</v>
      </c>
      <c r="E79" s="447" t="s">
        <v>91</v>
      </c>
      <c r="F79" s="448">
        <v>250.0</v>
      </c>
      <c r="G79" s="449"/>
      <c r="H79" s="450">
        <v>225.0</v>
      </c>
      <c r="I79" s="451">
        <v>250.0</v>
      </c>
      <c r="J79" s="452">
        <v>175.0</v>
      </c>
      <c r="K79" s="453">
        <v>200.0</v>
      </c>
      <c r="L79" s="454">
        <f t="shared" si="1"/>
        <v>200</v>
      </c>
      <c r="M79" s="455">
        <f t="shared" si="2"/>
        <v>267.5</v>
      </c>
      <c r="N79" s="456">
        <f t="shared" si="3"/>
        <v>152.5</v>
      </c>
      <c r="O79" s="457">
        <f t="shared" si="4"/>
        <v>185</v>
      </c>
      <c r="P79" s="461"/>
      <c r="Q79" s="461"/>
      <c r="R79" s="461"/>
      <c r="S79" s="461"/>
      <c r="T79" s="451">
        <v>275.0</v>
      </c>
      <c r="U79" s="449"/>
    </row>
    <row r="80">
      <c r="A80" s="48">
        <v>209.0</v>
      </c>
      <c r="B80" s="50" t="s">
        <v>537</v>
      </c>
      <c r="C80" s="50" t="s">
        <v>91</v>
      </c>
      <c r="D80" s="50" t="s">
        <v>250</v>
      </c>
      <c r="E80" s="447" t="s">
        <v>91</v>
      </c>
      <c r="F80" s="448">
        <v>250.0</v>
      </c>
      <c r="G80" s="449"/>
      <c r="H80" s="450">
        <v>225.0</v>
      </c>
      <c r="I80" s="451">
        <v>250.0</v>
      </c>
      <c r="J80" s="452">
        <v>175.0</v>
      </c>
      <c r="K80" s="453">
        <v>200.0</v>
      </c>
      <c r="L80" s="454">
        <f t="shared" si="1"/>
        <v>200</v>
      </c>
      <c r="M80" s="455">
        <f t="shared" si="2"/>
        <v>267.5</v>
      </c>
      <c r="N80" s="456">
        <f t="shared" si="3"/>
        <v>152.5</v>
      </c>
      <c r="O80" s="457">
        <f t="shared" si="4"/>
        <v>185</v>
      </c>
      <c r="P80" s="461"/>
      <c r="Q80" s="461"/>
      <c r="R80" s="461"/>
      <c r="S80" s="461"/>
      <c r="T80" s="451">
        <v>275.0</v>
      </c>
      <c r="U80" s="449"/>
    </row>
    <row r="81">
      <c r="A81" s="48">
        <v>176.0</v>
      </c>
      <c r="B81" s="50" t="s">
        <v>538</v>
      </c>
      <c r="C81" s="50" t="s">
        <v>83</v>
      </c>
      <c r="D81" s="50" t="s">
        <v>158</v>
      </c>
      <c r="E81" s="447" t="s">
        <v>83</v>
      </c>
      <c r="F81" s="448">
        <v>250.0</v>
      </c>
      <c r="G81" s="449"/>
      <c r="H81" s="450">
        <v>225.0</v>
      </c>
      <c r="I81" s="451">
        <v>250.0</v>
      </c>
      <c r="J81" s="452">
        <v>175.0</v>
      </c>
      <c r="K81" s="453">
        <v>200.0</v>
      </c>
      <c r="L81" s="454">
        <f t="shared" si="1"/>
        <v>200</v>
      </c>
      <c r="M81" s="455">
        <f t="shared" si="2"/>
        <v>267.5</v>
      </c>
      <c r="N81" s="456">
        <f t="shared" si="3"/>
        <v>152.5</v>
      </c>
      <c r="O81" s="457">
        <f t="shared" si="4"/>
        <v>185</v>
      </c>
      <c r="P81" s="461"/>
      <c r="Q81" s="461"/>
      <c r="R81" s="461"/>
      <c r="S81" s="461"/>
      <c r="T81" s="451">
        <v>275.0</v>
      </c>
      <c r="U81" s="449"/>
    </row>
    <row r="82">
      <c r="A82" s="48">
        <v>8.0</v>
      </c>
      <c r="B82" s="50" t="s">
        <v>539</v>
      </c>
      <c r="C82" s="50" t="s">
        <v>186</v>
      </c>
      <c r="D82" s="50" t="s">
        <v>180</v>
      </c>
      <c r="E82" s="447" t="s">
        <v>168</v>
      </c>
      <c r="F82" s="448">
        <v>200.0</v>
      </c>
      <c r="G82" s="449"/>
      <c r="H82" s="450">
        <v>180.0</v>
      </c>
      <c r="I82" s="451">
        <v>200.0</v>
      </c>
      <c r="J82" s="452">
        <v>140.0</v>
      </c>
      <c r="K82" s="453">
        <v>160.0</v>
      </c>
      <c r="L82" s="454">
        <f t="shared" si="1"/>
        <v>160</v>
      </c>
      <c r="M82" s="455">
        <f t="shared" si="2"/>
        <v>214</v>
      </c>
      <c r="N82" s="456">
        <f t="shared" si="3"/>
        <v>122</v>
      </c>
      <c r="O82" s="457">
        <f t="shared" si="4"/>
        <v>148</v>
      </c>
      <c r="P82" s="461"/>
      <c r="Q82" s="461"/>
      <c r="R82" s="461"/>
      <c r="S82" s="461"/>
      <c r="T82" s="451">
        <v>220.0</v>
      </c>
      <c r="U82" s="449"/>
    </row>
    <row r="83">
      <c r="A83" s="48">
        <v>183.0</v>
      </c>
      <c r="B83" s="50" t="s">
        <v>541</v>
      </c>
      <c r="C83" s="50" t="s">
        <v>186</v>
      </c>
      <c r="D83" s="50" t="s">
        <v>82</v>
      </c>
      <c r="E83" s="517" t="s">
        <v>78</v>
      </c>
      <c r="F83" s="448">
        <v>175.0</v>
      </c>
      <c r="G83" s="449"/>
      <c r="H83" s="450">
        <v>160.0</v>
      </c>
      <c r="I83" s="451">
        <v>175.0</v>
      </c>
      <c r="J83" s="452">
        <v>125.0</v>
      </c>
      <c r="K83" s="453">
        <v>150.0</v>
      </c>
      <c r="L83" s="454">
        <f t="shared" si="1"/>
        <v>140</v>
      </c>
      <c r="M83" s="455">
        <f t="shared" si="2"/>
        <v>187.25</v>
      </c>
      <c r="N83" s="456">
        <f t="shared" si="3"/>
        <v>106.75</v>
      </c>
      <c r="O83" s="457">
        <f t="shared" si="4"/>
        <v>129.5</v>
      </c>
      <c r="P83" s="461"/>
      <c r="Q83" s="461"/>
      <c r="R83" s="461"/>
      <c r="S83" s="461"/>
      <c r="T83" s="451">
        <v>190.0</v>
      </c>
      <c r="U83" s="449"/>
    </row>
    <row r="84">
      <c r="A84" s="48">
        <v>164.0</v>
      </c>
      <c r="B84" s="50" t="s">
        <v>542</v>
      </c>
      <c r="C84" s="50" t="s">
        <v>186</v>
      </c>
      <c r="D84" s="50" t="s">
        <v>60</v>
      </c>
      <c r="E84" s="447" t="s">
        <v>43</v>
      </c>
      <c r="F84" s="448">
        <v>150.0</v>
      </c>
      <c r="G84" s="449"/>
      <c r="H84" s="450">
        <v>140.0</v>
      </c>
      <c r="I84" s="451">
        <v>150.0</v>
      </c>
      <c r="J84" s="452">
        <v>100.0</v>
      </c>
      <c r="K84" s="453">
        <v>120.0</v>
      </c>
      <c r="L84" s="454">
        <f t="shared" si="1"/>
        <v>120</v>
      </c>
      <c r="M84" s="455">
        <f t="shared" si="2"/>
        <v>160.5</v>
      </c>
      <c r="N84" s="456">
        <f t="shared" si="3"/>
        <v>91.5</v>
      </c>
      <c r="O84" s="457">
        <f t="shared" si="4"/>
        <v>111</v>
      </c>
      <c r="P84" s="461"/>
      <c r="Q84" s="461"/>
      <c r="R84" s="461"/>
      <c r="S84" s="461"/>
      <c r="T84" s="451">
        <v>160.0</v>
      </c>
      <c r="U84" s="449"/>
    </row>
    <row r="85">
      <c r="A85" s="48">
        <v>163.0</v>
      </c>
      <c r="B85" s="50" t="s">
        <v>544</v>
      </c>
      <c r="C85" s="50" t="s">
        <v>186</v>
      </c>
      <c r="D85" s="50" t="s">
        <v>63</v>
      </c>
      <c r="E85" s="447" t="s">
        <v>43</v>
      </c>
      <c r="F85" s="448">
        <v>150.0</v>
      </c>
      <c r="G85" s="449"/>
      <c r="H85" s="450">
        <v>140.0</v>
      </c>
      <c r="I85" s="451">
        <v>150.0</v>
      </c>
      <c r="J85" s="452">
        <v>100.0</v>
      </c>
      <c r="K85" s="453">
        <v>120.0</v>
      </c>
      <c r="L85" s="454">
        <f t="shared" si="1"/>
        <v>120</v>
      </c>
      <c r="M85" s="455">
        <f t="shared" si="2"/>
        <v>160.5</v>
      </c>
      <c r="N85" s="456">
        <f t="shared" si="3"/>
        <v>91.5</v>
      </c>
      <c r="O85" s="457">
        <f t="shared" si="4"/>
        <v>111</v>
      </c>
      <c r="P85" s="461"/>
      <c r="Q85" s="461"/>
      <c r="R85" s="461"/>
      <c r="S85" s="461"/>
      <c r="T85" s="451">
        <v>160.0</v>
      </c>
      <c r="U85" s="449"/>
    </row>
    <row r="86">
      <c r="A86" s="48">
        <v>39.0</v>
      </c>
      <c r="B86" s="50" t="s">
        <v>546</v>
      </c>
      <c r="C86" s="50" t="s">
        <v>186</v>
      </c>
      <c r="D86" s="50" t="s">
        <v>65</v>
      </c>
      <c r="E86" s="447" t="s">
        <v>43</v>
      </c>
      <c r="F86" s="448">
        <v>150.0</v>
      </c>
      <c r="G86" s="449"/>
      <c r="H86" s="450">
        <v>140.0</v>
      </c>
      <c r="I86" s="451">
        <v>150.0</v>
      </c>
      <c r="J86" s="452">
        <v>100.0</v>
      </c>
      <c r="K86" s="453">
        <v>120.0</v>
      </c>
      <c r="L86" s="454">
        <f t="shared" si="1"/>
        <v>120</v>
      </c>
      <c r="M86" s="455">
        <f t="shared" si="2"/>
        <v>160.5</v>
      </c>
      <c r="N86" s="456">
        <f t="shared" si="3"/>
        <v>91.5</v>
      </c>
      <c r="O86" s="457">
        <f t="shared" si="4"/>
        <v>111</v>
      </c>
      <c r="P86" s="461"/>
      <c r="Q86" s="461"/>
      <c r="R86" s="461"/>
      <c r="S86" s="461"/>
      <c r="T86" s="451">
        <v>160.0</v>
      </c>
      <c r="U86" s="449"/>
    </row>
    <row r="87">
      <c r="A87" s="48">
        <v>51.0</v>
      </c>
      <c r="B87" s="50" t="s">
        <v>548</v>
      </c>
      <c r="C87" s="50" t="s">
        <v>186</v>
      </c>
      <c r="D87" s="50" t="s">
        <v>1072</v>
      </c>
      <c r="E87" s="447" t="s">
        <v>43</v>
      </c>
      <c r="F87" s="448">
        <v>150.0</v>
      </c>
      <c r="G87" s="449"/>
      <c r="H87" s="450">
        <v>140.0</v>
      </c>
      <c r="I87" s="451">
        <v>150.0</v>
      </c>
      <c r="J87" s="452">
        <v>100.0</v>
      </c>
      <c r="K87" s="453">
        <v>120.0</v>
      </c>
      <c r="L87" s="454">
        <f t="shared" si="1"/>
        <v>120</v>
      </c>
      <c r="M87" s="455">
        <f t="shared" si="2"/>
        <v>160.5</v>
      </c>
      <c r="N87" s="456">
        <f t="shared" si="3"/>
        <v>91.5</v>
      </c>
      <c r="O87" s="457">
        <f t="shared" si="4"/>
        <v>111</v>
      </c>
      <c r="P87" s="461"/>
      <c r="Q87" s="461"/>
      <c r="R87" s="461"/>
      <c r="S87" s="461"/>
      <c r="T87" s="451">
        <v>160.0</v>
      </c>
      <c r="U87" s="449"/>
    </row>
    <row r="88">
      <c r="A88" s="48">
        <v>75.0</v>
      </c>
      <c r="B88" s="50" t="s">
        <v>549</v>
      </c>
      <c r="C88" s="50" t="s">
        <v>91</v>
      </c>
      <c r="D88" s="50" t="s">
        <v>194</v>
      </c>
      <c r="E88" s="447" t="s">
        <v>91</v>
      </c>
      <c r="F88" s="448">
        <v>100.0</v>
      </c>
      <c r="G88" s="449"/>
      <c r="H88" s="450">
        <v>90.0</v>
      </c>
      <c r="I88" s="451">
        <v>100.0</v>
      </c>
      <c r="J88" s="452">
        <v>70.0</v>
      </c>
      <c r="K88" s="453">
        <v>80.0</v>
      </c>
      <c r="L88" s="454">
        <f t="shared" si="1"/>
        <v>80</v>
      </c>
      <c r="M88" s="455">
        <f t="shared" si="2"/>
        <v>107</v>
      </c>
      <c r="N88" s="456">
        <f t="shared" si="3"/>
        <v>61</v>
      </c>
      <c r="O88" s="457">
        <f t="shared" si="4"/>
        <v>74</v>
      </c>
      <c r="P88" s="461"/>
      <c r="Q88" s="461"/>
      <c r="R88" s="461"/>
      <c r="S88" s="461"/>
      <c r="T88" s="451">
        <v>110.0</v>
      </c>
      <c r="U88" s="449"/>
    </row>
    <row r="89">
      <c r="A89" s="48">
        <v>26.0</v>
      </c>
      <c r="B89" s="50" t="s">
        <v>550</v>
      </c>
      <c r="C89" s="50" t="s">
        <v>186</v>
      </c>
      <c r="D89" s="50" t="s">
        <v>1073</v>
      </c>
      <c r="E89" s="447" t="s">
        <v>43</v>
      </c>
      <c r="F89" s="448">
        <v>99.0</v>
      </c>
      <c r="G89" s="449"/>
      <c r="H89" s="450">
        <v>89.0</v>
      </c>
      <c r="I89" s="451">
        <v>99.0</v>
      </c>
      <c r="J89" s="452">
        <v>69.0</v>
      </c>
      <c r="K89" s="453">
        <v>79.0</v>
      </c>
      <c r="L89" s="454">
        <f t="shared" si="1"/>
        <v>79.2</v>
      </c>
      <c r="M89" s="455">
        <f t="shared" si="2"/>
        <v>105.93</v>
      </c>
      <c r="N89" s="456">
        <f t="shared" si="3"/>
        <v>60.39</v>
      </c>
      <c r="O89" s="457">
        <f t="shared" si="4"/>
        <v>73.26</v>
      </c>
      <c r="P89" s="461"/>
      <c r="Q89" s="461"/>
      <c r="R89" s="461"/>
      <c r="S89" s="461"/>
      <c r="T89" s="451">
        <v>109.0</v>
      </c>
      <c r="U89" s="449"/>
    </row>
    <row r="90">
      <c r="A90" s="48">
        <v>35.0</v>
      </c>
      <c r="B90" s="50" t="s">
        <v>552</v>
      </c>
      <c r="C90" s="50" t="s">
        <v>186</v>
      </c>
      <c r="D90" s="50" t="s">
        <v>453</v>
      </c>
      <c r="E90" s="447" t="s">
        <v>186</v>
      </c>
      <c r="F90" s="448">
        <v>99.0</v>
      </c>
      <c r="G90" s="449"/>
      <c r="H90" s="450">
        <v>89.0</v>
      </c>
      <c r="I90" s="451">
        <v>99.0</v>
      </c>
      <c r="J90" s="452">
        <v>69.0</v>
      </c>
      <c r="K90" s="453">
        <v>79.0</v>
      </c>
      <c r="L90" s="454">
        <f t="shared" si="1"/>
        <v>79.2</v>
      </c>
      <c r="M90" s="455">
        <f t="shared" si="2"/>
        <v>105.93</v>
      </c>
      <c r="N90" s="456">
        <f t="shared" si="3"/>
        <v>60.39</v>
      </c>
      <c r="O90" s="457">
        <f t="shared" si="4"/>
        <v>73.26</v>
      </c>
      <c r="P90" s="461"/>
      <c r="Q90" s="461"/>
      <c r="R90" s="461"/>
      <c r="S90" s="461"/>
      <c r="T90" s="451">
        <v>109.0</v>
      </c>
      <c r="U90" s="449"/>
    </row>
    <row r="91">
      <c r="A91" s="48">
        <v>106.0</v>
      </c>
      <c r="B91" s="50" t="s">
        <v>553</v>
      </c>
      <c r="C91" s="50" t="s">
        <v>186</v>
      </c>
      <c r="D91" s="50" t="s">
        <v>450</v>
      </c>
      <c r="E91" s="447" t="s">
        <v>186</v>
      </c>
      <c r="F91" s="448">
        <v>99.0</v>
      </c>
      <c r="G91" s="449"/>
      <c r="H91" s="450">
        <v>89.0</v>
      </c>
      <c r="I91" s="451">
        <v>99.0</v>
      </c>
      <c r="J91" s="452">
        <v>69.0</v>
      </c>
      <c r="K91" s="453">
        <v>79.0</v>
      </c>
      <c r="L91" s="454">
        <f t="shared" si="1"/>
        <v>79.2</v>
      </c>
      <c r="M91" s="455">
        <f t="shared" si="2"/>
        <v>105.93</v>
      </c>
      <c r="N91" s="456">
        <f t="shared" si="3"/>
        <v>60.39</v>
      </c>
      <c r="O91" s="457">
        <f t="shared" si="4"/>
        <v>73.26</v>
      </c>
      <c r="P91" s="461"/>
      <c r="Q91" s="461"/>
      <c r="R91" s="461"/>
      <c r="S91" s="461"/>
      <c r="T91" s="451">
        <v>109.0</v>
      </c>
      <c r="U91" s="449"/>
    </row>
    <row r="92">
      <c r="A92" s="48">
        <v>179.0</v>
      </c>
      <c r="B92" s="50" t="s">
        <v>554</v>
      </c>
      <c r="C92" s="50" t="s">
        <v>91</v>
      </c>
      <c r="D92" s="50" t="s">
        <v>205</v>
      </c>
      <c r="E92" s="447" t="s">
        <v>91</v>
      </c>
      <c r="F92" s="448">
        <v>99.0</v>
      </c>
      <c r="G92" s="449"/>
      <c r="H92" s="450">
        <v>89.0</v>
      </c>
      <c r="I92" s="451">
        <v>99.0</v>
      </c>
      <c r="J92" s="452">
        <v>69.0</v>
      </c>
      <c r="K92" s="453">
        <v>79.0</v>
      </c>
      <c r="L92" s="454">
        <f t="shared" si="1"/>
        <v>79.2</v>
      </c>
      <c r="M92" s="455">
        <f t="shared" si="2"/>
        <v>105.93</v>
      </c>
      <c r="N92" s="456">
        <f t="shared" si="3"/>
        <v>60.39</v>
      </c>
      <c r="O92" s="457">
        <f t="shared" si="4"/>
        <v>73.26</v>
      </c>
      <c r="P92" s="461"/>
      <c r="Q92" s="461"/>
      <c r="R92" s="461"/>
      <c r="S92" s="461"/>
      <c r="T92" s="451">
        <v>109.0</v>
      </c>
      <c r="U92" s="449"/>
    </row>
    <row r="93">
      <c r="A93" s="48">
        <v>180.0</v>
      </c>
      <c r="B93" s="50" t="s">
        <v>555</v>
      </c>
      <c r="C93" s="50" t="s">
        <v>91</v>
      </c>
      <c r="D93" s="50" t="s">
        <v>595</v>
      </c>
      <c r="E93" s="447" t="s">
        <v>91</v>
      </c>
      <c r="F93" s="448">
        <v>99.0</v>
      </c>
      <c r="G93" s="449"/>
      <c r="H93" s="450">
        <v>89.0</v>
      </c>
      <c r="I93" s="451">
        <v>99.0</v>
      </c>
      <c r="J93" s="452">
        <v>69.0</v>
      </c>
      <c r="K93" s="453">
        <v>79.0</v>
      </c>
      <c r="L93" s="454">
        <f t="shared" si="1"/>
        <v>79.2</v>
      </c>
      <c r="M93" s="455">
        <f t="shared" si="2"/>
        <v>105.93</v>
      </c>
      <c r="N93" s="456">
        <f t="shared" si="3"/>
        <v>60.39</v>
      </c>
      <c r="O93" s="457">
        <f t="shared" si="4"/>
        <v>73.26</v>
      </c>
      <c r="P93" s="461"/>
      <c r="Q93" s="461"/>
      <c r="R93" s="461"/>
      <c r="S93" s="461"/>
      <c r="T93" s="451">
        <v>109.0</v>
      </c>
      <c r="U93" s="449"/>
    </row>
    <row r="94">
      <c r="A94" s="48">
        <v>181.0</v>
      </c>
      <c r="B94" s="50" t="s">
        <v>557</v>
      </c>
      <c r="C94" s="50" t="s">
        <v>91</v>
      </c>
      <c r="D94" s="50" t="s">
        <v>201</v>
      </c>
      <c r="E94" s="447" t="s">
        <v>91</v>
      </c>
      <c r="F94" s="448">
        <v>99.0</v>
      </c>
      <c r="G94" s="449"/>
      <c r="H94" s="450">
        <v>89.0</v>
      </c>
      <c r="I94" s="451">
        <v>99.0</v>
      </c>
      <c r="J94" s="452">
        <v>69.0</v>
      </c>
      <c r="K94" s="453">
        <v>79.0</v>
      </c>
      <c r="L94" s="454">
        <f t="shared" si="1"/>
        <v>79.2</v>
      </c>
      <c r="M94" s="455">
        <f t="shared" si="2"/>
        <v>105.93</v>
      </c>
      <c r="N94" s="456">
        <f t="shared" si="3"/>
        <v>60.39</v>
      </c>
      <c r="O94" s="457">
        <f t="shared" si="4"/>
        <v>73.26</v>
      </c>
      <c r="P94" s="461"/>
      <c r="Q94" s="461"/>
      <c r="R94" s="461"/>
      <c r="S94" s="461"/>
      <c r="T94" s="451">
        <v>109.0</v>
      </c>
      <c r="U94" s="449"/>
    </row>
    <row r="95">
      <c r="A95" s="48">
        <v>226.0</v>
      </c>
      <c r="B95" s="50" t="s">
        <v>559</v>
      </c>
      <c r="C95" s="50" t="s">
        <v>83</v>
      </c>
      <c r="D95" s="50" t="s">
        <v>151</v>
      </c>
      <c r="E95" s="447" t="s">
        <v>83</v>
      </c>
      <c r="F95" s="448">
        <v>99.0</v>
      </c>
      <c r="G95" s="449"/>
      <c r="H95" s="450">
        <v>89.0</v>
      </c>
      <c r="I95" s="451">
        <v>99.0</v>
      </c>
      <c r="J95" s="452">
        <v>69.0</v>
      </c>
      <c r="K95" s="453">
        <v>79.0</v>
      </c>
      <c r="L95" s="454">
        <f t="shared" si="1"/>
        <v>79.2</v>
      </c>
      <c r="M95" s="455">
        <f t="shared" si="2"/>
        <v>105.93</v>
      </c>
      <c r="N95" s="456">
        <f t="shared" si="3"/>
        <v>60.39</v>
      </c>
      <c r="O95" s="457">
        <f t="shared" si="4"/>
        <v>73.26</v>
      </c>
      <c r="P95" s="461"/>
      <c r="Q95" s="461"/>
      <c r="R95" s="461"/>
      <c r="S95" s="461"/>
      <c r="T95" s="451">
        <v>109.0</v>
      </c>
      <c r="U95" s="449"/>
    </row>
    <row r="96">
      <c r="A96" s="48">
        <v>58.0</v>
      </c>
      <c r="B96" s="50" t="s">
        <v>562</v>
      </c>
      <c r="C96" s="50" t="s">
        <v>91</v>
      </c>
      <c r="D96" s="50" t="s">
        <v>1076</v>
      </c>
      <c r="E96" s="447" t="s">
        <v>91</v>
      </c>
      <c r="F96" s="448">
        <v>95.0</v>
      </c>
      <c r="G96" s="449"/>
      <c r="H96" s="450">
        <v>85.0</v>
      </c>
      <c r="I96" s="451">
        <v>95.0</v>
      </c>
      <c r="J96" s="452">
        <v>65.0</v>
      </c>
      <c r="K96" s="453">
        <v>75.0</v>
      </c>
      <c r="L96" s="454">
        <f t="shared" si="1"/>
        <v>76</v>
      </c>
      <c r="M96" s="455">
        <f t="shared" si="2"/>
        <v>101.65</v>
      </c>
      <c r="N96" s="456">
        <f t="shared" si="3"/>
        <v>57.95</v>
      </c>
      <c r="O96" s="457">
        <f t="shared" si="4"/>
        <v>70.3</v>
      </c>
      <c r="P96" s="461"/>
      <c r="Q96" s="461"/>
      <c r="R96" s="461"/>
      <c r="S96" s="461"/>
      <c r="T96" s="451">
        <v>105.0</v>
      </c>
      <c r="U96" s="449"/>
    </row>
    <row r="97">
      <c r="A97" s="48">
        <v>174.0</v>
      </c>
      <c r="B97" s="50" t="s">
        <v>563</v>
      </c>
      <c r="C97" s="50" t="s">
        <v>186</v>
      </c>
      <c r="D97" s="50" t="s">
        <v>408</v>
      </c>
      <c r="E97" s="447" t="s">
        <v>396</v>
      </c>
      <c r="F97" s="448">
        <v>80.0</v>
      </c>
      <c r="G97" s="449"/>
      <c r="H97" s="450">
        <v>80.0</v>
      </c>
      <c r="I97" s="451">
        <v>80.0</v>
      </c>
      <c r="J97" s="452">
        <v>80.0</v>
      </c>
      <c r="K97" s="453">
        <v>80.0</v>
      </c>
      <c r="L97" s="454">
        <f t="shared" si="1"/>
        <v>64</v>
      </c>
      <c r="M97" s="455">
        <f t="shared" si="2"/>
        <v>85.6</v>
      </c>
      <c r="N97" s="456">
        <f t="shared" si="3"/>
        <v>48.8</v>
      </c>
      <c r="O97" s="457">
        <f t="shared" si="4"/>
        <v>59.2</v>
      </c>
      <c r="P97" s="461"/>
      <c r="Q97" s="461"/>
      <c r="R97" s="461"/>
      <c r="S97" s="461"/>
      <c r="T97" s="451">
        <v>80.0</v>
      </c>
      <c r="U97" s="449"/>
    </row>
    <row r="98">
      <c r="A98" s="48">
        <v>128.0</v>
      </c>
      <c r="B98" s="50" t="s">
        <v>565</v>
      </c>
      <c r="C98" s="50" t="s">
        <v>186</v>
      </c>
      <c r="D98" s="50" t="s">
        <v>176</v>
      </c>
      <c r="E98" s="447" t="s">
        <v>168</v>
      </c>
      <c r="F98" s="448">
        <v>75.0</v>
      </c>
      <c r="G98" s="449"/>
      <c r="H98" s="450">
        <v>70.0</v>
      </c>
      <c r="I98" s="451">
        <v>75.0</v>
      </c>
      <c r="J98" s="452">
        <v>50.0</v>
      </c>
      <c r="K98" s="453">
        <v>60.0</v>
      </c>
      <c r="L98" s="454">
        <f t="shared" si="1"/>
        <v>60</v>
      </c>
      <c r="M98" s="455">
        <f t="shared" si="2"/>
        <v>80.25</v>
      </c>
      <c r="N98" s="456">
        <f t="shared" si="3"/>
        <v>45.75</v>
      </c>
      <c r="O98" s="457">
        <f t="shared" si="4"/>
        <v>55.5</v>
      </c>
      <c r="P98" s="461"/>
      <c r="Q98" s="461"/>
      <c r="R98" s="461"/>
      <c r="S98" s="461"/>
      <c r="T98" s="451">
        <v>80.0</v>
      </c>
      <c r="U98" s="449"/>
    </row>
    <row r="99">
      <c r="A99" s="48">
        <v>119.0</v>
      </c>
      <c r="B99" s="50" t="s">
        <v>567</v>
      </c>
      <c r="C99" s="50" t="s">
        <v>186</v>
      </c>
      <c r="D99" s="50" t="s">
        <v>77</v>
      </c>
      <c r="E99" s="447" t="s">
        <v>78</v>
      </c>
      <c r="F99" s="448">
        <v>75.0</v>
      </c>
      <c r="G99" s="449"/>
      <c r="H99" s="450">
        <v>70.0</v>
      </c>
      <c r="I99" s="451">
        <v>75.0</v>
      </c>
      <c r="J99" s="452">
        <v>50.0</v>
      </c>
      <c r="K99" s="453">
        <v>60.0</v>
      </c>
      <c r="L99" s="454">
        <f t="shared" si="1"/>
        <v>60</v>
      </c>
      <c r="M99" s="455">
        <f t="shared" si="2"/>
        <v>80.25</v>
      </c>
      <c r="N99" s="456">
        <f t="shared" si="3"/>
        <v>45.75</v>
      </c>
      <c r="O99" s="457">
        <f t="shared" si="4"/>
        <v>55.5</v>
      </c>
      <c r="P99" s="461"/>
      <c r="Q99" s="461"/>
      <c r="R99" s="461"/>
      <c r="S99" s="461"/>
      <c r="T99" s="451">
        <v>75.0</v>
      </c>
      <c r="U99" s="449"/>
    </row>
    <row r="100">
      <c r="A100" s="48">
        <v>127.0</v>
      </c>
      <c r="B100" s="50" t="s">
        <v>570</v>
      </c>
      <c r="C100" s="50" t="s">
        <v>186</v>
      </c>
      <c r="D100" s="50" t="s">
        <v>172</v>
      </c>
      <c r="E100" s="447" t="s">
        <v>168</v>
      </c>
      <c r="F100" s="448">
        <v>60.0</v>
      </c>
      <c r="G100" s="449"/>
      <c r="H100" s="450">
        <v>55.0</v>
      </c>
      <c r="I100" s="451">
        <v>60.0</v>
      </c>
      <c r="J100" s="452">
        <v>40.0</v>
      </c>
      <c r="K100" s="453">
        <v>50.0</v>
      </c>
      <c r="L100" s="454">
        <f t="shared" si="1"/>
        <v>48</v>
      </c>
      <c r="M100" s="455">
        <f t="shared" si="2"/>
        <v>64.2</v>
      </c>
      <c r="N100" s="456">
        <f t="shared" si="3"/>
        <v>36.6</v>
      </c>
      <c r="O100" s="457">
        <f t="shared" si="4"/>
        <v>44.4</v>
      </c>
      <c r="P100" s="461"/>
      <c r="Q100" s="461"/>
      <c r="R100" s="461"/>
      <c r="S100" s="461"/>
      <c r="T100" s="451">
        <v>65.0</v>
      </c>
      <c r="U100" s="449"/>
    </row>
    <row r="101">
      <c r="A101" s="48">
        <v>78.0</v>
      </c>
      <c r="B101" s="50" t="s">
        <v>572</v>
      </c>
      <c r="C101" s="50" t="s">
        <v>186</v>
      </c>
      <c r="D101" s="50" t="s">
        <v>58</v>
      </c>
      <c r="E101" s="447" t="s">
        <v>43</v>
      </c>
      <c r="F101" s="448">
        <v>50.0</v>
      </c>
      <c r="G101" s="449"/>
      <c r="H101" s="450">
        <v>45.0</v>
      </c>
      <c r="I101" s="451">
        <v>50.0</v>
      </c>
      <c r="J101" s="452">
        <v>35.0</v>
      </c>
      <c r="K101" s="453">
        <v>40.0</v>
      </c>
      <c r="L101" s="454">
        <f t="shared" si="1"/>
        <v>40</v>
      </c>
      <c r="M101" s="455">
        <f t="shared" si="2"/>
        <v>53.5</v>
      </c>
      <c r="N101" s="456">
        <f t="shared" si="3"/>
        <v>30.5</v>
      </c>
      <c r="O101" s="457">
        <f t="shared" si="4"/>
        <v>37</v>
      </c>
      <c r="P101" s="461"/>
      <c r="Q101" s="461"/>
      <c r="R101" s="461"/>
      <c r="S101" s="461"/>
      <c r="T101" s="451">
        <v>55.0</v>
      </c>
      <c r="U101" s="449"/>
    </row>
    <row r="102">
      <c r="A102" s="48">
        <v>112.0</v>
      </c>
      <c r="B102" s="101" t="s">
        <v>574</v>
      </c>
      <c r="C102" s="50"/>
      <c r="D102" s="50" t="s">
        <v>34</v>
      </c>
      <c r="E102" s="447" t="s">
        <v>31</v>
      </c>
      <c r="F102" s="448">
        <v>50.0</v>
      </c>
      <c r="G102" s="449"/>
      <c r="H102" s="450">
        <v>40.0</v>
      </c>
      <c r="I102" s="451">
        <v>50.0</v>
      </c>
      <c r="J102" s="452">
        <v>40.0</v>
      </c>
      <c r="K102" s="453">
        <v>40.0</v>
      </c>
      <c r="L102" s="454">
        <f t="shared" si="1"/>
        <v>40</v>
      </c>
      <c r="M102" s="455">
        <f t="shared" si="2"/>
        <v>53.5</v>
      </c>
      <c r="N102" s="456">
        <f t="shared" si="3"/>
        <v>30.5</v>
      </c>
      <c r="O102" s="457">
        <f t="shared" si="4"/>
        <v>37</v>
      </c>
      <c r="P102" s="461"/>
      <c r="Q102" s="461"/>
      <c r="R102" s="461"/>
      <c r="S102" s="461"/>
      <c r="T102" s="451">
        <v>60.0</v>
      </c>
      <c r="U102" s="449"/>
    </row>
    <row r="103">
      <c r="A103" s="48">
        <v>132.0</v>
      </c>
      <c r="B103" s="50" t="s">
        <v>578</v>
      </c>
      <c r="C103" s="50" t="s">
        <v>91</v>
      </c>
      <c r="D103" s="50" t="s">
        <v>192</v>
      </c>
      <c r="E103" s="447" t="s">
        <v>91</v>
      </c>
      <c r="F103" s="448">
        <v>49.0</v>
      </c>
      <c r="G103" s="449"/>
      <c r="H103" s="450">
        <v>45.0</v>
      </c>
      <c r="I103" s="451">
        <v>49.0</v>
      </c>
      <c r="J103" s="452">
        <v>35.0</v>
      </c>
      <c r="K103" s="453">
        <v>40.0</v>
      </c>
      <c r="L103" s="454">
        <f t="shared" si="1"/>
        <v>39.2</v>
      </c>
      <c r="M103" s="455">
        <f t="shared" si="2"/>
        <v>52.43</v>
      </c>
      <c r="N103" s="456">
        <f t="shared" si="3"/>
        <v>29.89</v>
      </c>
      <c r="O103" s="457">
        <f t="shared" si="4"/>
        <v>36.26</v>
      </c>
      <c r="P103" s="461"/>
      <c r="Q103" s="461"/>
      <c r="R103" s="461"/>
      <c r="S103" s="461"/>
      <c r="T103" s="451">
        <v>55.0</v>
      </c>
      <c r="U103" s="449"/>
    </row>
    <row r="104">
      <c r="A104" s="48">
        <v>126.0</v>
      </c>
      <c r="B104" s="50" t="s">
        <v>582</v>
      </c>
      <c r="C104" s="50" t="s">
        <v>186</v>
      </c>
      <c r="D104" s="50" t="s">
        <v>167</v>
      </c>
      <c r="E104" s="447" t="s">
        <v>168</v>
      </c>
      <c r="F104" s="448">
        <v>45.0</v>
      </c>
      <c r="G104" s="449"/>
      <c r="H104" s="450">
        <v>40.0</v>
      </c>
      <c r="I104" s="451">
        <v>45.0</v>
      </c>
      <c r="J104" s="452">
        <v>30.0</v>
      </c>
      <c r="K104" s="453">
        <v>40.0</v>
      </c>
      <c r="L104" s="454">
        <f t="shared" si="1"/>
        <v>36</v>
      </c>
      <c r="M104" s="455">
        <f t="shared" si="2"/>
        <v>48.15</v>
      </c>
      <c r="N104" s="456">
        <f t="shared" si="3"/>
        <v>27.45</v>
      </c>
      <c r="O104" s="457">
        <f t="shared" si="4"/>
        <v>33.3</v>
      </c>
      <c r="P104" s="461"/>
      <c r="Q104" s="461"/>
      <c r="R104" s="461"/>
      <c r="S104" s="461"/>
      <c r="T104" s="451">
        <v>50.0</v>
      </c>
      <c r="U104" s="449"/>
    </row>
    <row r="105">
      <c r="A105" s="48">
        <v>175.0</v>
      </c>
      <c r="B105" s="50" t="s">
        <v>583</v>
      </c>
      <c r="C105" s="50" t="s">
        <v>186</v>
      </c>
      <c r="D105" s="50" t="s">
        <v>404</v>
      </c>
      <c r="E105" s="447" t="s">
        <v>396</v>
      </c>
      <c r="F105" s="448">
        <v>40.0</v>
      </c>
      <c r="G105" s="449"/>
      <c r="H105" s="450">
        <v>40.0</v>
      </c>
      <c r="I105" s="451">
        <v>40.0</v>
      </c>
      <c r="J105" s="452">
        <v>40.0</v>
      </c>
      <c r="K105" s="453">
        <v>40.0</v>
      </c>
      <c r="L105" s="454">
        <f t="shared" si="1"/>
        <v>32</v>
      </c>
      <c r="M105" s="455">
        <f t="shared" si="2"/>
        <v>42.8</v>
      </c>
      <c r="N105" s="456">
        <f t="shared" si="3"/>
        <v>24.4</v>
      </c>
      <c r="O105" s="457">
        <f t="shared" si="4"/>
        <v>29.6</v>
      </c>
      <c r="P105" s="461"/>
      <c r="Q105" s="461"/>
      <c r="R105" s="461"/>
      <c r="S105" s="461"/>
      <c r="T105" s="451">
        <v>40.0</v>
      </c>
      <c r="U105" s="449"/>
    </row>
    <row r="106">
      <c r="A106" s="48">
        <v>9.0</v>
      </c>
      <c r="B106" s="50" t="s">
        <v>584</v>
      </c>
      <c r="C106" s="50" t="s">
        <v>31</v>
      </c>
      <c r="D106" s="50" t="s">
        <v>30</v>
      </c>
      <c r="E106" s="447" t="s">
        <v>31</v>
      </c>
      <c r="F106" s="448">
        <v>25.0</v>
      </c>
      <c r="G106" s="449"/>
      <c r="H106" s="450">
        <v>20.0</v>
      </c>
      <c r="I106" s="451">
        <v>25.0</v>
      </c>
      <c r="J106" s="452">
        <v>20.0</v>
      </c>
      <c r="K106" s="453">
        <v>20.0</v>
      </c>
      <c r="L106" s="454">
        <f t="shared" si="1"/>
        <v>20</v>
      </c>
      <c r="M106" s="455">
        <f t="shared" si="2"/>
        <v>26.75</v>
      </c>
      <c r="N106" s="456">
        <f t="shared" si="3"/>
        <v>15.25</v>
      </c>
      <c r="O106" s="457">
        <f t="shared" si="4"/>
        <v>18.5</v>
      </c>
      <c r="P106" s="461"/>
      <c r="Q106" s="461"/>
      <c r="R106" s="461"/>
      <c r="S106" s="461"/>
      <c r="T106" s="451">
        <v>30.0</v>
      </c>
      <c r="U106" s="449"/>
    </row>
    <row r="107">
      <c r="A107" s="48">
        <v>173.0</v>
      </c>
      <c r="B107" s="50" t="s">
        <v>585</v>
      </c>
      <c r="C107" s="50" t="s">
        <v>186</v>
      </c>
      <c r="D107" s="50" t="s">
        <v>400</v>
      </c>
      <c r="E107" s="447" t="s">
        <v>396</v>
      </c>
      <c r="F107" s="448">
        <v>20.0</v>
      </c>
      <c r="G107" s="449"/>
      <c r="H107" s="450">
        <v>20.0</v>
      </c>
      <c r="I107" s="451">
        <v>20.0</v>
      </c>
      <c r="J107" s="452">
        <v>20.0</v>
      </c>
      <c r="K107" s="453">
        <v>20.0</v>
      </c>
      <c r="L107" s="454">
        <f t="shared" si="1"/>
        <v>16</v>
      </c>
      <c r="M107" s="455">
        <f t="shared" si="2"/>
        <v>21.4</v>
      </c>
      <c r="N107" s="456">
        <f t="shared" si="3"/>
        <v>12.2</v>
      </c>
      <c r="O107" s="457">
        <f t="shared" si="4"/>
        <v>14.8</v>
      </c>
      <c r="P107" s="461"/>
      <c r="Q107" s="461"/>
      <c r="R107" s="461"/>
      <c r="S107" s="461"/>
      <c r="T107" s="451">
        <v>20.0</v>
      </c>
      <c r="U107" s="449"/>
    </row>
    <row r="108">
      <c r="A108" s="48">
        <v>172.0</v>
      </c>
      <c r="B108" s="50" t="s">
        <v>586</v>
      </c>
      <c r="C108" s="50" t="s">
        <v>186</v>
      </c>
      <c r="D108" s="50" t="s">
        <v>394</v>
      </c>
      <c r="E108" s="447" t="s">
        <v>396</v>
      </c>
      <c r="F108" s="448">
        <v>1.0</v>
      </c>
      <c r="G108" s="449"/>
      <c r="H108" s="450">
        <v>1.0</v>
      </c>
      <c r="I108" s="451">
        <v>1.0</v>
      </c>
      <c r="J108" s="452">
        <v>1.0</v>
      </c>
      <c r="K108" s="453">
        <v>1.0</v>
      </c>
      <c r="L108" s="454">
        <f t="shared" si="1"/>
        <v>0.8</v>
      </c>
      <c r="M108" s="455">
        <f t="shared" si="2"/>
        <v>1.07</v>
      </c>
      <c r="N108" s="456">
        <f t="shared" si="3"/>
        <v>0.61</v>
      </c>
      <c r="O108" s="457">
        <f t="shared" si="4"/>
        <v>0.74</v>
      </c>
      <c r="P108" s="461"/>
      <c r="Q108" s="461"/>
      <c r="R108" s="461"/>
      <c r="S108" s="461"/>
      <c r="T108" s="451">
        <v>1.0</v>
      </c>
      <c r="U108" s="449"/>
    </row>
    <row r="109">
      <c r="A109" s="48">
        <v>108.0</v>
      </c>
      <c r="B109" s="50" t="s">
        <v>588</v>
      </c>
      <c r="C109" s="50" t="s">
        <v>186</v>
      </c>
      <c r="D109" s="50" t="s">
        <v>124</v>
      </c>
      <c r="E109" s="447" t="s">
        <v>186</v>
      </c>
      <c r="F109" s="448">
        <v>1.0</v>
      </c>
      <c r="G109" s="449"/>
      <c r="H109" s="450">
        <v>1.0</v>
      </c>
      <c r="I109" s="451">
        <v>1.0</v>
      </c>
      <c r="J109" s="452">
        <v>1.0</v>
      </c>
      <c r="K109" s="453">
        <v>1.0</v>
      </c>
      <c r="L109" s="454">
        <f t="shared" si="1"/>
        <v>0.8</v>
      </c>
      <c r="M109" s="455">
        <f t="shared" si="2"/>
        <v>1.07</v>
      </c>
      <c r="N109" s="456">
        <f t="shared" si="3"/>
        <v>0.61</v>
      </c>
      <c r="O109" s="457">
        <f t="shared" si="4"/>
        <v>0.74</v>
      </c>
      <c r="P109" s="461"/>
      <c r="Q109" s="461"/>
      <c r="R109" s="461"/>
      <c r="S109" s="461"/>
      <c r="T109" s="451">
        <v>1.0</v>
      </c>
      <c r="U109" s="449"/>
    </row>
    <row r="110">
      <c r="A110" s="48">
        <v>142.0</v>
      </c>
      <c r="B110" s="50" t="s">
        <v>590</v>
      </c>
      <c r="C110" s="50" t="s">
        <v>186</v>
      </c>
      <c r="D110" s="50" t="s">
        <v>435</v>
      </c>
      <c r="E110" s="447" t="s">
        <v>186</v>
      </c>
      <c r="F110" s="448">
        <v>1.0</v>
      </c>
      <c r="G110" s="449"/>
      <c r="H110" s="450">
        <v>1.0</v>
      </c>
      <c r="I110" s="451">
        <v>1.0</v>
      </c>
      <c r="J110" s="452">
        <v>1.0</v>
      </c>
      <c r="K110" s="453">
        <v>1.0</v>
      </c>
      <c r="L110" s="454">
        <f t="shared" si="1"/>
        <v>0.8</v>
      </c>
      <c r="M110" s="455">
        <f t="shared" si="2"/>
        <v>1.07</v>
      </c>
      <c r="N110" s="456">
        <f t="shared" si="3"/>
        <v>0.61</v>
      </c>
      <c r="O110" s="457">
        <f t="shared" si="4"/>
        <v>0.74</v>
      </c>
      <c r="P110" s="461"/>
      <c r="Q110" s="461"/>
      <c r="R110" s="461"/>
      <c r="S110" s="461"/>
      <c r="T110" s="451">
        <v>1.0</v>
      </c>
      <c r="U110" s="449"/>
    </row>
    <row r="111">
      <c r="A111" s="48">
        <v>123.0</v>
      </c>
      <c r="B111" s="50" t="s">
        <v>592</v>
      </c>
      <c r="C111" s="50" t="s">
        <v>186</v>
      </c>
      <c r="D111" s="50" t="s">
        <v>399</v>
      </c>
      <c r="E111" s="447" t="s">
        <v>396</v>
      </c>
      <c r="F111" s="448">
        <v>1.0</v>
      </c>
      <c r="G111" s="449"/>
      <c r="H111" s="450">
        <v>1.0</v>
      </c>
      <c r="I111" s="451">
        <v>1.0</v>
      </c>
      <c r="J111" s="452">
        <v>1.0</v>
      </c>
      <c r="K111" s="453">
        <v>1.0</v>
      </c>
      <c r="L111" s="454">
        <f t="shared" si="1"/>
        <v>0.8</v>
      </c>
      <c r="M111" s="455">
        <f t="shared" si="2"/>
        <v>1.07</v>
      </c>
      <c r="N111" s="456">
        <f t="shared" si="3"/>
        <v>0.61</v>
      </c>
      <c r="O111" s="457">
        <f t="shared" si="4"/>
        <v>0.74</v>
      </c>
      <c r="P111" s="461"/>
      <c r="Q111" s="461"/>
      <c r="R111" s="461"/>
      <c r="S111" s="461"/>
      <c r="T111" s="451">
        <v>1.0</v>
      </c>
      <c r="U111" s="449"/>
    </row>
    <row r="112">
      <c r="A112" s="48">
        <v>43.0</v>
      </c>
      <c r="B112" s="50" t="s">
        <v>594</v>
      </c>
      <c r="C112" s="50" t="s">
        <v>186</v>
      </c>
      <c r="D112" s="50" t="s">
        <v>41</v>
      </c>
      <c r="E112" s="447" t="s">
        <v>43</v>
      </c>
      <c r="F112" s="519">
        <v>50.0</v>
      </c>
      <c r="G112" s="449"/>
      <c r="H112" s="450">
        <v>1.0</v>
      </c>
      <c r="I112" s="451">
        <v>1.0</v>
      </c>
      <c r="J112" s="452">
        <v>1.0</v>
      </c>
      <c r="K112" s="453">
        <v>1.0</v>
      </c>
      <c r="L112" s="454">
        <f t="shared" si="1"/>
        <v>40</v>
      </c>
      <c r="M112" s="455">
        <f t="shared" si="2"/>
        <v>53.5</v>
      </c>
      <c r="N112" s="456">
        <f t="shared" si="3"/>
        <v>30.5</v>
      </c>
      <c r="O112" s="457">
        <f t="shared" si="4"/>
        <v>37</v>
      </c>
      <c r="P112" s="461"/>
      <c r="Q112" s="461"/>
      <c r="R112" s="461"/>
      <c r="S112" s="461"/>
      <c r="T112" s="451">
        <v>1.0</v>
      </c>
      <c r="U112" s="449"/>
    </row>
    <row r="113">
      <c r="A113" s="48">
        <v>139.0</v>
      </c>
      <c r="B113" s="50" t="s">
        <v>596</v>
      </c>
      <c r="C113" s="50" t="s">
        <v>91</v>
      </c>
      <c r="D113" s="50" t="s">
        <v>190</v>
      </c>
      <c r="E113" s="447" t="s">
        <v>91</v>
      </c>
      <c r="F113" s="448">
        <v>1.0</v>
      </c>
      <c r="G113" s="449"/>
      <c r="H113" s="450">
        <v>1.0</v>
      </c>
      <c r="I113" s="451">
        <v>1.0</v>
      </c>
      <c r="J113" s="452">
        <v>1.0</v>
      </c>
      <c r="K113" s="453">
        <v>1.0</v>
      </c>
      <c r="L113" s="454">
        <f t="shared" si="1"/>
        <v>0.8</v>
      </c>
      <c r="M113" s="455">
        <f t="shared" si="2"/>
        <v>1.07</v>
      </c>
      <c r="N113" s="456">
        <f t="shared" si="3"/>
        <v>0.61</v>
      </c>
      <c r="O113" s="457">
        <f t="shared" si="4"/>
        <v>0.74</v>
      </c>
      <c r="P113" s="461"/>
      <c r="Q113" s="461"/>
      <c r="R113" s="461"/>
      <c r="S113" s="461"/>
      <c r="T113" s="451">
        <v>1.0</v>
      </c>
      <c r="U113" s="449"/>
    </row>
    <row r="114">
      <c r="A114" s="48">
        <v>138.0</v>
      </c>
      <c r="B114" s="50" t="s">
        <v>597</v>
      </c>
      <c r="C114" s="50" t="s">
        <v>186</v>
      </c>
      <c r="D114" s="50" t="s">
        <v>430</v>
      </c>
      <c r="E114" s="447" t="s">
        <v>186</v>
      </c>
      <c r="F114" s="448">
        <v>0.1</v>
      </c>
      <c r="G114" s="449"/>
      <c r="H114" s="450">
        <v>0.09</v>
      </c>
      <c r="I114" s="451">
        <v>0.1</v>
      </c>
      <c r="J114" s="452">
        <v>0.07</v>
      </c>
      <c r="K114" s="453">
        <v>0.08</v>
      </c>
      <c r="L114" s="454">
        <f t="shared" si="1"/>
        <v>0.08</v>
      </c>
      <c r="M114" s="455">
        <f t="shared" si="2"/>
        <v>0.107</v>
      </c>
      <c r="N114" s="456">
        <f t="shared" si="3"/>
        <v>0.061</v>
      </c>
      <c r="O114" s="457">
        <f t="shared" si="4"/>
        <v>0.074</v>
      </c>
      <c r="P114" s="461"/>
      <c r="Q114" s="461"/>
      <c r="R114" s="461"/>
      <c r="S114" s="461"/>
      <c r="T114" s="451">
        <v>0.11</v>
      </c>
      <c r="U114" s="449"/>
    </row>
    <row r="115">
      <c r="A115" s="48">
        <v>61.0</v>
      </c>
      <c r="B115" s="50" t="s">
        <v>599</v>
      </c>
      <c r="C115" s="50" t="s">
        <v>186</v>
      </c>
      <c r="D115" s="50" t="s">
        <v>423</v>
      </c>
      <c r="E115" s="447" t="s">
        <v>186</v>
      </c>
      <c r="F115" s="448">
        <v>0.052</v>
      </c>
      <c r="G115" s="449"/>
      <c r="H115" s="450">
        <v>0.046</v>
      </c>
      <c r="I115" s="451">
        <v>0.052</v>
      </c>
      <c r="J115" s="452">
        <v>0.034</v>
      </c>
      <c r="K115" s="453">
        <v>0.041</v>
      </c>
      <c r="L115" s="510">
        <f t="shared" si="1"/>
        <v>0.0416</v>
      </c>
      <c r="M115" s="455">
        <f t="shared" si="2"/>
        <v>0.05564</v>
      </c>
      <c r="N115" s="456">
        <f t="shared" si="3"/>
        <v>0.03172</v>
      </c>
      <c r="O115" s="457">
        <f t="shared" si="4"/>
        <v>0.03848</v>
      </c>
      <c r="P115" s="461"/>
      <c r="Q115" s="461"/>
      <c r="R115" s="461"/>
      <c r="S115" s="461"/>
      <c r="T115" s="451">
        <v>0.056</v>
      </c>
      <c r="U115" s="449"/>
    </row>
    <row r="116">
      <c r="A116" s="48">
        <v>47.0</v>
      </c>
      <c r="B116" s="50" t="s">
        <v>600</v>
      </c>
      <c r="C116" s="50" t="s">
        <v>83</v>
      </c>
      <c r="D116" s="50" t="s">
        <v>149</v>
      </c>
      <c r="E116" s="447" t="s">
        <v>83</v>
      </c>
      <c r="F116" s="448">
        <v>0.042</v>
      </c>
      <c r="G116" s="449"/>
      <c r="H116" s="450">
        <v>0.038</v>
      </c>
      <c r="I116" s="451">
        <v>0.042</v>
      </c>
      <c r="J116" s="452">
        <v>0.027</v>
      </c>
      <c r="K116" s="520">
        <v>0.033</v>
      </c>
      <c r="L116" s="454">
        <f t="shared" si="1"/>
        <v>0.0336</v>
      </c>
      <c r="M116" s="455">
        <f t="shared" si="2"/>
        <v>0.04494</v>
      </c>
      <c r="N116" s="456">
        <f t="shared" si="3"/>
        <v>0.02562</v>
      </c>
      <c r="O116" s="457">
        <f t="shared" si="4"/>
        <v>0.03108</v>
      </c>
      <c r="P116" s="461"/>
      <c r="Q116" s="461"/>
      <c r="R116" s="461"/>
      <c r="S116" s="461"/>
      <c r="T116" s="451">
        <v>0.046</v>
      </c>
      <c r="U116" s="449"/>
    </row>
    <row r="117">
      <c r="A117" s="48">
        <v>130.0</v>
      </c>
      <c r="B117" s="50" t="s">
        <v>603</v>
      </c>
      <c r="C117" s="50" t="s">
        <v>83</v>
      </c>
      <c r="D117" s="50" t="s">
        <v>147</v>
      </c>
      <c r="E117" s="447" t="s">
        <v>83</v>
      </c>
      <c r="F117" s="448">
        <v>0.042</v>
      </c>
      <c r="G117" s="448"/>
      <c r="H117" s="450">
        <v>0.038</v>
      </c>
      <c r="I117" s="451">
        <v>0.042</v>
      </c>
      <c r="J117" s="452">
        <v>0.027</v>
      </c>
      <c r="K117" s="520">
        <v>0.033</v>
      </c>
      <c r="L117" s="454">
        <f t="shared" si="1"/>
        <v>0.0336</v>
      </c>
      <c r="M117" s="455">
        <f t="shared" si="2"/>
        <v>0.04494</v>
      </c>
      <c r="N117" s="456">
        <f t="shared" si="3"/>
        <v>0.02562</v>
      </c>
      <c r="O117" s="457">
        <f t="shared" si="4"/>
        <v>0.03108</v>
      </c>
      <c r="P117" s="461"/>
      <c r="Q117" s="461"/>
      <c r="R117" s="461"/>
      <c r="S117" s="461"/>
      <c r="T117" s="451">
        <v>0.046</v>
      </c>
      <c r="U117" s="449"/>
    </row>
    <row r="118">
      <c r="A118" s="48">
        <v>143.0</v>
      </c>
      <c r="B118" s="50" t="s">
        <v>604</v>
      </c>
      <c r="C118" s="50" t="s">
        <v>186</v>
      </c>
      <c r="D118" s="50" t="s">
        <v>36</v>
      </c>
      <c r="E118" s="447" t="s">
        <v>37</v>
      </c>
      <c r="F118" s="448">
        <v>0.033</v>
      </c>
      <c r="G118" s="449"/>
      <c r="H118" s="450">
        <v>0.033</v>
      </c>
      <c r="I118" s="451">
        <v>0.033</v>
      </c>
      <c r="J118" s="452">
        <v>0.025</v>
      </c>
      <c r="K118" s="453">
        <v>0.025</v>
      </c>
      <c r="L118" s="454">
        <f t="shared" si="1"/>
        <v>0.0264</v>
      </c>
      <c r="M118" s="455">
        <f t="shared" si="2"/>
        <v>0.03531</v>
      </c>
      <c r="N118" s="456">
        <f t="shared" si="3"/>
        <v>0.02013</v>
      </c>
      <c r="O118" s="457">
        <f t="shared" si="4"/>
        <v>0.02442</v>
      </c>
      <c r="P118" s="461"/>
      <c r="Q118" s="461"/>
      <c r="R118" s="461"/>
      <c r="S118" s="461"/>
      <c r="T118" s="451">
        <v>0.033</v>
      </c>
      <c r="U118" s="449"/>
    </row>
    <row r="119">
      <c r="A119" s="48">
        <v>53.0</v>
      </c>
      <c r="B119" s="50" t="s">
        <v>605</v>
      </c>
      <c r="C119" s="50" t="s">
        <v>186</v>
      </c>
      <c r="D119" s="50" t="s">
        <v>418</v>
      </c>
      <c r="E119" s="447" t="s">
        <v>186</v>
      </c>
      <c r="F119" s="448">
        <v>0.03</v>
      </c>
      <c r="G119" s="449"/>
      <c r="H119" s="450">
        <v>0.026</v>
      </c>
      <c r="I119" s="451">
        <v>0.03</v>
      </c>
      <c r="J119" s="452">
        <v>0.02</v>
      </c>
      <c r="K119" s="453">
        <v>0.024</v>
      </c>
      <c r="L119" s="454">
        <f t="shared" si="1"/>
        <v>0.024</v>
      </c>
      <c r="M119" s="455">
        <f t="shared" si="2"/>
        <v>0.0321</v>
      </c>
      <c r="N119" s="456">
        <f t="shared" si="3"/>
        <v>0.0183</v>
      </c>
      <c r="O119" s="457">
        <f t="shared" si="4"/>
        <v>0.0222</v>
      </c>
      <c r="P119" s="461"/>
      <c r="Q119" s="461"/>
      <c r="R119" s="461"/>
      <c r="S119" s="461"/>
      <c r="T119" s="451">
        <v>0.032</v>
      </c>
      <c r="U119" s="449"/>
    </row>
    <row r="120">
      <c r="A120" s="48">
        <v>45.0</v>
      </c>
      <c r="B120" s="50" t="s">
        <v>606</v>
      </c>
      <c r="C120" s="50" t="s">
        <v>83</v>
      </c>
      <c r="D120" s="50" t="s">
        <v>146</v>
      </c>
      <c r="E120" s="447" t="s">
        <v>83</v>
      </c>
      <c r="F120" s="448">
        <v>0.022</v>
      </c>
      <c r="G120" s="449"/>
      <c r="H120" s="450">
        <v>0.02</v>
      </c>
      <c r="I120" s="451">
        <v>0.022</v>
      </c>
      <c r="J120" s="452">
        <v>0.014</v>
      </c>
      <c r="K120" s="520">
        <v>0.017</v>
      </c>
      <c r="L120" s="454">
        <f t="shared" si="1"/>
        <v>0.0176</v>
      </c>
      <c r="M120" s="455">
        <f t="shared" si="2"/>
        <v>0.02354</v>
      </c>
      <c r="N120" s="456">
        <f t="shared" si="3"/>
        <v>0.01342</v>
      </c>
      <c r="O120" s="457">
        <f t="shared" si="4"/>
        <v>0.01628</v>
      </c>
      <c r="P120" s="461"/>
      <c r="Q120" s="461"/>
      <c r="R120" s="461"/>
      <c r="S120" s="461"/>
      <c r="T120" s="451">
        <v>0.024</v>
      </c>
      <c r="U120" s="449"/>
    </row>
    <row r="121">
      <c r="A121" s="48">
        <v>137.0</v>
      </c>
      <c r="B121" s="50" t="s">
        <v>607</v>
      </c>
      <c r="C121" s="50" t="s">
        <v>83</v>
      </c>
      <c r="D121" s="50" t="s">
        <v>144</v>
      </c>
      <c r="E121" s="447" t="s">
        <v>83</v>
      </c>
      <c r="F121" s="448">
        <v>0.022</v>
      </c>
      <c r="G121" s="448"/>
      <c r="H121" s="450">
        <v>0.02</v>
      </c>
      <c r="I121" s="451">
        <v>0.022</v>
      </c>
      <c r="J121" s="452">
        <v>0.014</v>
      </c>
      <c r="K121" s="520">
        <v>0.017</v>
      </c>
      <c r="L121" s="510">
        <f t="shared" si="1"/>
        <v>0.0176</v>
      </c>
      <c r="M121" s="521">
        <f t="shared" si="2"/>
        <v>0.02354</v>
      </c>
      <c r="N121" s="522">
        <f t="shared" si="3"/>
        <v>0.01342</v>
      </c>
      <c r="O121" s="457">
        <f t="shared" si="4"/>
        <v>0.01628</v>
      </c>
      <c r="P121" s="461"/>
      <c r="Q121" s="461"/>
      <c r="R121" s="461"/>
      <c r="S121" s="461"/>
      <c r="T121" s="451">
        <v>0.024</v>
      </c>
      <c r="U121" s="449"/>
    </row>
    <row r="122">
      <c r="A122" s="48">
        <v>46.0</v>
      </c>
      <c r="B122" s="50" t="s">
        <v>610</v>
      </c>
      <c r="C122" s="50" t="s">
        <v>83</v>
      </c>
      <c r="D122" s="50" t="s">
        <v>142</v>
      </c>
      <c r="E122" s="447" t="s">
        <v>83</v>
      </c>
      <c r="F122" s="448">
        <v>0.02</v>
      </c>
      <c r="G122" s="449"/>
      <c r="H122" s="450">
        <v>0.018</v>
      </c>
      <c r="I122" s="451">
        <v>0.02</v>
      </c>
      <c r="J122" s="452">
        <v>0.013</v>
      </c>
      <c r="K122" s="520">
        <v>0.016</v>
      </c>
      <c r="L122" s="510">
        <f t="shared" si="1"/>
        <v>0.016</v>
      </c>
      <c r="M122" s="521">
        <f t="shared" si="2"/>
        <v>0.0214</v>
      </c>
      <c r="N122" s="522">
        <f t="shared" si="3"/>
        <v>0.0122</v>
      </c>
      <c r="O122" s="457">
        <f t="shared" si="4"/>
        <v>0.0148</v>
      </c>
      <c r="P122" s="461"/>
      <c r="Q122" s="461"/>
      <c r="R122" s="461"/>
      <c r="S122" s="461"/>
      <c r="T122" s="451">
        <v>0.022</v>
      </c>
      <c r="U122" s="449"/>
    </row>
    <row r="123">
      <c r="A123" s="48">
        <v>52.0</v>
      </c>
      <c r="B123" s="50" t="s">
        <v>612</v>
      </c>
      <c r="C123" s="50" t="s">
        <v>83</v>
      </c>
      <c r="D123" s="50" t="s">
        <v>138</v>
      </c>
      <c r="E123" s="447" t="s">
        <v>83</v>
      </c>
      <c r="F123" s="448">
        <v>0.015</v>
      </c>
      <c r="G123" s="449"/>
      <c r="H123" s="450">
        <v>0.013</v>
      </c>
      <c r="I123" s="451">
        <v>0.015</v>
      </c>
      <c r="J123" s="452">
        <v>0.01</v>
      </c>
      <c r="K123" s="520">
        <v>0.012</v>
      </c>
      <c r="L123" s="510">
        <f t="shared" si="1"/>
        <v>0.012</v>
      </c>
      <c r="M123" s="521">
        <f t="shared" si="2"/>
        <v>0.01605</v>
      </c>
      <c r="N123" s="522">
        <f t="shared" si="3"/>
        <v>0.00915</v>
      </c>
      <c r="O123" s="457">
        <f t="shared" si="4"/>
        <v>0.0111</v>
      </c>
      <c r="P123" s="461"/>
      <c r="Q123" s="461"/>
      <c r="R123" s="461"/>
      <c r="S123" s="461"/>
      <c r="T123" s="451">
        <v>0.016</v>
      </c>
      <c r="U123" s="449"/>
    </row>
    <row r="124">
      <c r="A124" s="48">
        <v>48.0</v>
      </c>
      <c r="B124" s="50" t="s">
        <v>79</v>
      </c>
      <c r="C124" s="50" t="s">
        <v>83</v>
      </c>
      <c r="D124" s="50" t="s">
        <v>140</v>
      </c>
      <c r="E124" s="447" t="s">
        <v>83</v>
      </c>
      <c r="F124" s="448">
        <v>0.015</v>
      </c>
      <c r="G124" s="449"/>
      <c r="H124" s="450">
        <v>0.013</v>
      </c>
      <c r="I124" s="451">
        <v>0.015</v>
      </c>
      <c r="J124" s="452">
        <v>0.01</v>
      </c>
      <c r="K124" s="520">
        <v>0.012</v>
      </c>
      <c r="L124" s="510">
        <f t="shared" si="1"/>
        <v>0.012</v>
      </c>
      <c r="M124" s="521">
        <f t="shared" si="2"/>
        <v>0.01605</v>
      </c>
      <c r="N124" s="522">
        <f t="shared" si="3"/>
        <v>0.00915</v>
      </c>
      <c r="O124" s="457">
        <f t="shared" si="4"/>
        <v>0.0111</v>
      </c>
      <c r="P124" s="461"/>
      <c r="Q124" s="461"/>
      <c r="R124" s="461"/>
      <c r="S124" s="461"/>
      <c r="T124" s="451">
        <v>0.016</v>
      </c>
      <c r="U124" s="449"/>
    </row>
    <row r="125">
      <c r="A125" s="48">
        <v>62.0</v>
      </c>
      <c r="B125" s="50" t="s">
        <v>613</v>
      </c>
      <c r="C125" s="50" t="s">
        <v>83</v>
      </c>
      <c r="D125" s="50" t="s">
        <v>136</v>
      </c>
      <c r="E125" s="447" t="s">
        <v>83</v>
      </c>
      <c r="F125" s="448">
        <v>0.007</v>
      </c>
      <c r="G125" s="449"/>
      <c r="H125" s="450">
        <v>0.006</v>
      </c>
      <c r="I125" s="451">
        <v>0.007</v>
      </c>
      <c r="J125" s="452">
        <v>0.005</v>
      </c>
      <c r="K125" s="523">
        <v>-5.0</v>
      </c>
      <c r="L125" s="510">
        <f t="shared" si="1"/>
        <v>0.0056</v>
      </c>
      <c r="M125" s="521">
        <f t="shared" si="2"/>
        <v>0.00749</v>
      </c>
      <c r="N125" s="522">
        <f t="shared" si="3"/>
        <v>0.00427</v>
      </c>
      <c r="O125" s="457">
        <f t="shared" si="4"/>
        <v>0.00518</v>
      </c>
      <c r="P125" s="461"/>
      <c r="Q125" s="461"/>
      <c r="R125" s="461"/>
      <c r="S125" s="461"/>
      <c r="T125" s="451">
        <v>0.008</v>
      </c>
      <c r="U125" s="449"/>
    </row>
    <row r="126">
      <c r="A126" s="48">
        <v>186.0</v>
      </c>
      <c r="B126" s="50" t="s">
        <v>614</v>
      </c>
      <c r="C126" s="50" t="s">
        <v>186</v>
      </c>
      <c r="D126" s="50" t="s">
        <v>514</v>
      </c>
      <c r="E126" s="447" t="s">
        <v>186</v>
      </c>
      <c r="F126" s="448">
        <v>0.0</v>
      </c>
      <c r="G126" s="449"/>
      <c r="H126" s="450">
        <v>0.0</v>
      </c>
      <c r="I126" s="451">
        <v>0.0</v>
      </c>
      <c r="J126" s="524" t="s">
        <v>135</v>
      </c>
      <c r="K126" s="525">
        <v>0.0</v>
      </c>
      <c r="L126" s="510">
        <f t="shared" si="1"/>
        <v>0</v>
      </c>
      <c r="M126" s="521">
        <f t="shared" si="2"/>
        <v>0</v>
      </c>
      <c r="N126" s="522">
        <f t="shared" si="3"/>
        <v>0</v>
      </c>
      <c r="O126" s="457">
        <f t="shared" si="4"/>
        <v>0</v>
      </c>
      <c r="P126" s="461"/>
      <c r="Q126" s="461"/>
      <c r="R126" s="461"/>
      <c r="S126" s="461"/>
      <c r="T126" s="451">
        <v>0.0</v>
      </c>
      <c r="U126" s="449"/>
    </row>
    <row r="127">
      <c r="A127" s="48">
        <v>184.0</v>
      </c>
      <c r="B127" s="50" t="s">
        <v>614</v>
      </c>
      <c r="C127" s="50" t="s">
        <v>186</v>
      </c>
      <c r="D127" s="50" t="s">
        <v>517</v>
      </c>
      <c r="E127" s="447" t="s">
        <v>186</v>
      </c>
      <c r="F127" s="448">
        <v>0.0</v>
      </c>
      <c r="G127" s="449"/>
      <c r="H127" s="450">
        <v>0.0</v>
      </c>
      <c r="I127" s="451">
        <v>0.0</v>
      </c>
      <c r="J127" s="524" t="s">
        <v>135</v>
      </c>
      <c r="K127" s="525">
        <v>0.0</v>
      </c>
      <c r="L127" s="510">
        <f t="shared" si="1"/>
        <v>0</v>
      </c>
      <c r="M127" s="521">
        <f t="shared" si="2"/>
        <v>0</v>
      </c>
      <c r="N127" s="522">
        <f t="shared" si="3"/>
        <v>0</v>
      </c>
      <c r="O127" s="457">
        <f t="shared" si="4"/>
        <v>0</v>
      </c>
      <c r="P127" s="461"/>
      <c r="Q127" s="461"/>
      <c r="R127" s="461"/>
      <c r="S127" s="461"/>
      <c r="T127" s="451">
        <v>0.0</v>
      </c>
      <c r="U127" s="449"/>
    </row>
    <row r="128">
      <c r="A128" s="48">
        <v>188.0</v>
      </c>
      <c r="B128" s="50" t="s">
        <v>614</v>
      </c>
      <c r="C128" s="50" t="s">
        <v>186</v>
      </c>
      <c r="D128" s="50" t="s">
        <v>521</v>
      </c>
      <c r="E128" s="447" t="s">
        <v>186</v>
      </c>
      <c r="F128" s="448">
        <v>0.0</v>
      </c>
      <c r="G128" s="449"/>
      <c r="H128" s="450">
        <v>0.0</v>
      </c>
      <c r="I128" s="451">
        <v>0.0</v>
      </c>
      <c r="J128" s="524" t="s">
        <v>135</v>
      </c>
      <c r="K128" s="525">
        <v>0.0</v>
      </c>
      <c r="L128" s="510">
        <f t="shared" si="1"/>
        <v>0</v>
      </c>
      <c r="M128" s="521">
        <f t="shared" si="2"/>
        <v>0</v>
      </c>
      <c r="N128" s="522">
        <f t="shared" si="3"/>
        <v>0</v>
      </c>
      <c r="O128" s="457">
        <f t="shared" si="4"/>
        <v>0</v>
      </c>
      <c r="P128" s="461"/>
      <c r="Q128" s="461"/>
      <c r="R128" s="461"/>
      <c r="S128" s="461"/>
      <c r="T128" s="451">
        <v>0.0</v>
      </c>
      <c r="U128" s="449"/>
    </row>
    <row r="129">
      <c r="A129" s="48">
        <v>185.0</v>
      </c>
      <c r="B129" s="50" t="s">
        <v>614</v>
      </c>
      <c r="C129" s="50" t="s">
        <v>186</v>
      </c>
      <c r="D129" s="50" t="s">
        <v>1090</v>
      </c>
      <c r="E129" s="447" t="s">
        <v>186</v>
      </c>
      <c r="F129" s="448">
        <v>0.0</v>
      </c>
      <c r="G129" s="449"/>
      <c r="H129" s="450">
        <v>0.0</v>
      </c>
      <c r="I129" s="451">
        <v>0.0</v>
      </c>
      <c r="J129" s="524" t="s">
        <v>135</v>
      </c>
      <c r="K129" s="525">
        <v>0.0</v>
      </c>
      <c r="L129" s="510">
        <f t="shared" si="1"/>
        <v>0</v>
      </c>
      <c r="M129" s="521">
        <f t="shared" si="2"/>
        <v>0</v>
      </c>
      <c r="N129" s="522">
        <f t="shared" si="3"/>
        <v>0</v>
      </c>
      <c r="O129" s="457">
        <f t="shared" si="4"/>
        <v>0</v>
      </c>
      <c r="P129" s="461"/>
      <c r="Q129" s="461"/>
      <c r="R129" s="461"/>
      <c r="S129" s="461"/>
      <c r="T129" s="451">
        <v>0.0</v>
      </c>
      <c r="U129" s="449"/>
    </row>
    <row r="130">
      <c r="A130" s="48">
        <v>136.0</v>
      </c>
      <c r="B130" s="50" t="s">
        <v>616</v>
      </c>
      <c r="C130" s="50" t="s">
        <v>186</v>
      </c>
      <c r="D130" s="50" t="s">
        <v>413</v>
      </c>
      <c r="E130" s="447" t="s">
        <v>186</v>
      </c>
      <c r="F130" s="448">
        <v>0.0</v>
      </c>
      <c r="G130" s="449"/>
      <c r="H130" s="449"/>
      <c r="I130" s="451">
        <v>0.0</v>
      </c>
      <c r="J130" s="526"/>
      <c r="K130" s="527"/>
      <c r="L130" s="454">
        <f t="shared" si="1"/>
        <v>0</v>
      </c>
      <c r="M130" s="455">
        <f t="shared" si="2"/>
        <v>0</v>
      </c>
      <c r="N130" s="456">
        <f t="shared" si="3"/>
        <v>0</v>
      </c>
      <c r="O130" s="457">
        <f t="shared" si="4"/>
        <v>0</v>
      </c>
      <c r="P130" s="461"/>
      <c r="Q130" s="461"/>
      <c r="R130" s="461"/>
      <c r="S130" s="461"/>
      <c r="T130" s="528"/>
      <c r="U130" s="449"/>
    </row>
    <row r="131">
      <c r="A131" s="48">
        <v>50.0</v>
      </c>
      <c r="B131" s="50" t="s">
        <v>617</v>
      </c>
      <c r="C131" s="50" t="s">
        <v>83</v>
      </c>
      <c r="D131" s="50" t="s">
        <v>134</v>
      </c>
      <c r="E131" s="447" t="s">
        <v>83</v>
      </c>
      <c r="F131" s="448">
        <v>0.0</v>
      </c>
      <c r="G131" s="449"/>
      <c r="H131" s="450">
        <v>0.0</v>
      </c>
      <c r="I131" s="451">
        <v>0.0</v>
      </c>
      <c r="J131" s="524" t="s">
        <v>135</v>
      </c>
      <c r="K131" s="523">
        <v>0.0</v>
      </c>
      <c r="L131" s="454">
        <f t="shared" si="1"/>
        <v>0</v>
      </c>
      <c r="M131" s="455">
        <f t="shared" si="2"/>
        <v>0</v>
      </c>
      <c r="N131" s="456">
        <f t="shared" si="3"/>
        <v>0</v>
      </c>
      <c r="O131" s="457">
        <f t="shared" si="4"/>
        <v>0</v>
      </c>
      <c r="P131" s="461"/>
      <c r="Q131" s="461"/>
      <c r="R131" s="461"/>
      <c r="S131" s="461"/>
      <c r="T131" s="451">
        <v>0.0</v>
      </c>
      <c r="U131" s="449"/>
    </row>
    <row r="132">
      <c r="A132" s="48">
        <v>230.0</v>
      </c>
      <c r="B132" s="48" t="s">
        <v>618</v>
      </c>
      <c r="C132" s="117" t="s">
        <v>83</v>
      </c>
      <c r="D132" s="50" t="s">
        <v>156</v>
      </c>
      <c r="E132" s="517" t="s">
        <v>83</v>
      </c>
      <c r="F132" s="448">
        <v>250.0</v>
      </c>
      <c r="G132" s="117"/>
      <c r="H132" s="450">
        <v>225.0</v>
      </c>
      <c r="I132" s="451">
        <v>275.0</v>
      </c>
      <c r="J132" s="452">
        <v>175.0</v>
      </c>
      <c r="K132" s="453">
        <v>200.0</v>
      </c>
      <c r="L132" s="117"/>
      <c r="M132" s="117"/>
      <c r="N132" s="117"/>
      <c r="O132" s="117"/>
      <c r="P132" s="461"/>
      <c r="Q132" s="461"/>
      <c r="R132" s="461"/>
      <c r="S132" s="461"/>
      <c r="T132" s="117"/>
      <c r="U132" s="449"/>
    </row>
    <row r="133">
      <c r="A133" s="48">
        <v>231.0</v>
      </c>
      <c r="B133" s="48" t="s">
        <v>619</v>
      </c>
      <c r="C133" s="117" t="s">
        <v>83</v>
      </c>
      <c r="D133" s="50" t="s">
        <v>153</v>
      </c>
      <c r="E133" s="517" t="s">
        <v>83</v>
      </c>
      <c r="F133" s="448">
        <v>175.0</v>
      </c>
      <c r="G133" s="117"/>
      <c r="H133" s="450">
        <v>160.0</v>
      </c>
      <c r="I133" s="451">
        <v>190.0</v>
      </c>
      <c r="J133" s="452">
        <v>125.0</v>
      </c>
      <c r="K133" s="453">
        <v>140.0</v>
      </c>
      <c r="L133" s="117"/>
      <c r="M133" s="117"/>
      <c r="N133" s="117"/>
      <c r="O133" s="117"/>
      <c r="P133" s="461"/>
      <c r="Q133" s="461"/>
      <c r="R133" s="461"/>
      <c r="S133" s="461"/>
      <c r="T133" s="117"/>
      <c r="U133" s="449"/>
    </row>
    <row r="134">
      <c r="D134" s="125" t="s">
        <v>626</v>
      </c>
      <c r="E134" s="529" t="s">
        <v>186</v>
      </c>
      <c r="F134" s="448">
        <v>150.0</v>
      </c>
    </row>
    <row r="135">
      <c r="D135" s="125" t="s">
        <v>628</v>
      </c>
      <c r="E135" s="529" t="s">
        <v>186</v>
      </c>
      <c r="F135" s="448">
        <v>150.0</v>
      </c>
    </row>
    <row r="136">
      <c r="E136" s="46"/>
    </row>
    <row r="137">
      <c r="E137" s="46"/>
    </row>
    <row r="138">
      <c r="E138" s="530" t="s">
        <v>1344</v>
      </c>
    </row>
    <row r="140">
      <c r="E140" s="46"/>
    </row>
    <row r="171">
      <c r="E171" s="46"/>
    </row>
    <row r="172">
      <c r="E172" s="46"/>
    </row>
    <row r="173">
      <c r="E173" s="531" t="s">
        <v>1345</v>
      </c>
    </row>
    <row r="175">
      <c r="E175" s="46"/>
    </row>
    <row r="206">
      <c r="E206" s="46"/>
    </row>
    <row r="207">
      <c r="E207" s="46"/>
    </row>
    <row r="208">
      <c r="E208" s="532" t="s">
        <v>1346</v>
      </c>
    </row>
    <row r="210">
      <c r="E210" s="46"/>
    </row>
    <row r="241">
      <c r="E241" s="46"/>
    </row>
    <row r="242">
      <c r="E242" s="46"/>
    </row>
    <row r="243">
      <c r="E243" s="46"/>
    </row>
    <row r="244">
      <c r="E244" s="46"/>
    </row>
    <row r="245">
      <c r="E245" s="46"/>
    </row>
    <row r="246">
      <c r="E246" s="46"/>
    </row>
    <row r="247">
      <c r="E247" s="46"/>
    </row>
    <row r="248">
      <c r="E248" s="46"/>
    </row>
    <row r="249">
      <c r="E249" s="46"/>
    </row>
    <row r="250">
      <c r="E250" s="46"/>
    </row>
    <row r="251">
      <c r="E251" s="46"/>
    </row>
    <row r="252">
      <c r="E252" s="46"/>
    </row>
    <row r="253">
      <c r="E253" s="46"/>
    </row>
    <row r="254">
      <c r="E254" s="46"/>
    </row>
    <row r="255">
      <c r="E255" s="46"/>
    </row>
    <row r="256">
      <c r="E256" s="46"/>
    </row>
    <row r="257">
      <c r="E257" s="46"/>
    </row>
    <row r="258">
      <c r="E258" s="46"/>
    </row>
    <row r="259">
      <c r="E259" s="46"/>
    </row>
    <row r="260">
      <c r="E260" s="46"/>
    </row>
    <row r="261">
      <c r="E261" s="46"/>
    </row>
    <row r="262">
      <c r="E262" s="46"/>
    </row>
    <row r="263">
      <c r="E263" s="46"/>
    </row>
    <row r="264">
      <c r="E264" s="46"/>
    </row>
    <row r="265">
      <c r="E265" s="46"/>
    </row>
    <row r="266">
      <c r="E266" s="46"/>
    </row>
    <row r="267">
      <c r="E267" s="46"/>
    </row>
    <row r="268">
      <c r="E268" s="46"/>
    </row>
    <row r="269">
      <c r="E269" s="46"/>
    </row>
    <row r="270">
      <c r="E270" s="46"/>
    </row>
    <row r="271">
      <c r="E271" s="46"/>
    </row>
    <row r="272">
      <c r="E272" s="46"/>
    </row>
    <row r="273">
      <c r="E273" s="46"/>
    </row>
    <row r="274">
      <c r="E274" s="46"/>
    </row>
    <row r="275">
      <c r="E275" s="46"/>
    </row>
    <row r="276">
      <c r="E276" s="46"/>
    </row>
    <row r="277">
      <c r="E277" s="46"/>
    </row>
    <row r="278">
      <c r="E278" s="46"/>
    </row>
    <row r="279">
      <c r="E279" s="46"/>
    </row>
    <row r="280">
      <c r="E280" s="46"/>
    </row>
    <row r="281">
      <c r="E281" s="46"/>
    </row>
    <row r="282">
      <c r="E282" s="46"/>
    </row>
    <row r="283">
      <c r="E283" s="46"/>
    </row>
    <row r="284">
      <c r="E284" s="46"/>
    </row>
    <row r="285">
      <c r="E285" s="46"/>
    </row>
    <row r="286">
      <c r="E286" s="46"/>
    </row>
    <row r="287">
      <c r="E287" s="46"/>
    </row>
    <row r="288">
      <c r="E288" s="46"/>
    </row>
    <row r="289">
      <c r="E289" s="46"/>
    </row>
    <row r="290">
      <c r="E290" s="46"/>
    </row>
    <row r="291">
      <c r="E291" s="46"/>
    </row>
    <row r="292">
      <c r="E292" s="46"/>
    </row>
    <row r="293">
      <c r="E293" s="46"/>
    </row>
    <row r="294">
      <c r="E294" s="46"/>
    </row>
    <row r="295">
      <c r="E295" s="46"/>
    </row>
    <row r="296">
      <c r="E296" s="46"/>
    </row>
    <row r="297">
      <c r="E297" s="46"/>
    </row>
    <row r="298">
      <c r="E298" s="46"/>
    </row>
    <row r="299">
      <c r="E299" s="46"/>
    </row>
    <row r="300">
      <c r="E300" s="46"/>
    </row>
    <row r="301">
      <c r="E301" s="46"/>
    </row>
    <row r="302">
      <c r="E302" s="46"/>
    </row>
    <row r="303">
      <c r="E303" s="46"/>
    </row>
    <row r="304">
      <c r="E304" s="46"/>
    </row>
    <row r="305">
      <c r="E305" s="46"/>
    </row>
    <row r="306">
      <c r="E306" s="46"/>
    </row>
    <row r="307">
      <c r="E307" s="46"/>
    </row>
    <row r="308">
      <c r="E308" s="46"/>
    </row>
    <row r="309">
      <c r="E309" s="46"/>
    </row>
    <row r="310">
      <c r="E310" s="46"/>
    </row>
    <row r="311">
      <c r="E311" s="46"/>
    </row>
    <row r="312">
      <c r="E312" s="46"/>
    </row>
    <row r="313">
      <c r="E313" s="46"/>
    </row>
    <row r="314">
      <c r="E314" s="46"/>
    </row>
    <row r="315">
      <c r="E315" s="46"/>
    </row>
    <row r="316">
      <c r="E316" s="46"/>
    </row>
    <row r="317">
      <c r="E317" s="46"/>
    </row>
    <row r="318">
      <c r="E318" s="46"/>
    </row>
    <row r="319">
      <c r="E319" s="46"/>
    </row>
    <row r="320">
      <c r="E320" s="46"/>
    </row>
    <row r="321">
      <c r="E321" s="46"/>
    </row>
    <row r="322">
      <c r="E322" s="46"/>
    </row>
    <row r="323">
      <c r="E323" s="46"/>
    </row>
    <row r="324">
      <c r="E324" s="46"/>
    </row>
    <row r="325">
      <c r="E325" s="46"/>
    </row>
    <row r="326">
      <c r="E326" s="46"/>
    </row>
    <row r="327">
      <c r="E327" s="46"/>
    </row>
    <row r="328">
      <c r="E328" s="46"/>
    </row>
    <row r="329">
      <c r="E329" s="46"/>
    </row>
    <row r="330">
      <c r="E330" s="46"/>
    </row>
    <row r="331">
      <c r="E331" s="46"/>
    </row>
    <row r="332">
      <c r="E332" s="46"/>
    </row>
    <row r="333">
      <c r="E333" s="46"/>
    </row>
    <row r="334">
      <c r="E334" s="46"/>
    </row>
    <row r="335">
      <c r="E335" s="46"/>
    </row>
    <row r="336">
      <c r="E336" s="46"/>
    </row>
    <row r="337">
      <c r="E337" s="46"/>
    </row>
    <row r="338">
      <c r="E338" s="46"/>
    </row>
    <row r="339">
      <c r="E339" s="46"/>
    </row>
    <row r="340">
      <c r="E340" s="46"/>
    </row>
    <row r="341">
      <c r="E341" s="46"/>
    </row>
    <row r="342">
      <c r="E342" s="46"/>
    </row>
    <row r="343">
      <c r="E343" s="46"/>
    </row>
    <row r="344">
      <c r="E344" s="46"/>
    </row>
    <row r="345">
      <c r="E345" s="46"/>
    </row>
    <row r="346">
      <c r="E346" s="46"/>
    </row>
    <row r="347">
      <c r="E347" s="46"/>
    </row>
    <row r="348">
      <c r="E348" s="46"/>
    </row>
    <row r="349">
      <c r="E349" s="46"/>
    </row>
    <row r="350">
      <c r="E350" s="46"/>
    </row>
    <row r="351">
      <c r="E351" s="46"/>
    </row>
    <row r="352">
      <c r="E352" s="46"/>
    </row>
    <row r="353">
      <c r="E353" s="46"/>
    </row>
    <row r="354">
      <c r="E354" s="46"/>
    </row>
    <row r="355">
      <c r="E355" s="46"/>
    </row>
    <row r="356">
      <c r="E356" s="46"/>
    </row>
    <row r="357">
      <c r="E357" s="46"/>
    </row>
    <row r="358">
      <c r="E358" s="46"/>
    </row>
    <row r="359">
      <c r="E359" s="46"/>
    </row>
    <row r="360">
      <c r="E360" s="46"/>
    </row>
    <row r="361">
      <c r="E361" s="46"/>
    </row>
    <row r="362">
      <c r="E362" s="46"/>
    </row>
    <row r="363">
      <c r="E363" s="46"/>
    </row>
    <row r="364">
      <c r="E364" s="46"/>
    </row>
    <row r="365">
      <c r="E365" s="46"/>
    </row>
    <row r="366">
      <c r="E366" s="46"/>
    </row>
    <row r="367">
      <c r="E367" s="46"/>
    </row>
    <row r="368">
      <c r="E368" s="46"/>
    </row>
    <row r="369">
      <c r="E369" s="46"/>
    </row>
    <row r="370">
      <c r="E370" s="46"/>
    </row>
    <row r="371">
      <c r="E371" s="46"/>
    </row>
    <row r="372">
      <c r="E372" s="46"/>
    </row>
    <row r="373">
      <c r="E373" s="46"/>
    </row>
    <row r="374">
      <c r="E374" s="46"/>
    </row>
    <row r="375">
      <c r="E375" s="46"/>
    </row>
    <row r="376">
      <c r="E376" s="46"/>
    </row>
    <row r="377">
      <c r="E377" s="46"/>
    </row>
    <row r="378">
      <c r="E378" s="46"/>
    </row>
    <row r="379">
      <c r="E379" s="46"/>
    </row>
    <row r="380">
      <c r="E380" s="46"/>
    </row>
    <row r="381">
      <c r="E381" s="46"/>
    </row>
    <row r="382">
      <c r="E382" s="46"/>
    </row>
    <row r="383">
      <c r="E383" s="46"/>
    </row>
    <row r="384">
      <c r="E384" s="46"/>
    </row>
    <row r="385">
      <c r="E385" s="46"/>
    </row>
    <row r="386">
      <c r="E386" s="46"/>
    </row>
    <row r="387">
      <c r="E387" s="46"/>
    </row>
    <row r="388">
      <c r="E388" s="46"/>
    </row>
    <row r="389">
      <c r="E389" s="46"/>
    </row>
    <row r="390">
      <c r="E390" s="46"/>
    </row>
    <row r="391">
      <c r="E391" s="46"/>
    </row>
    <row r="392">
      <c r="E392" s="46"/>
    </row>
    <row r="393">
      <c r="E393" s="46"/>
    </row>
    <row r="394">
      <c r="E394" s="46"/>
    </row>
    <row r="395">
      <c r="E395" s="46"/>
    </row>
    <row r="396">
      <c r="E396" s="46"/>
    </row>
    <row r="397">
      <c r="E397" s="46"/>
    </row>
    <row r="398">
      <c r="E398" s="46"/>
    </row>
    <row r="399">
      <c r="E399" s="46"/>
    </row>
    <row r="400">
      <c r="E400" s="46"/>
    </row>
    <row r="401">
      <c r="E401" s="46"/>
    </row>
    <row r="402">
      <c r="E402" s="46"/>
    </row>
    <row r="403">
      <c r="E403" s="46"/>
    </row>
    <row r="404">
      <c r="E404" s="46"/>
    </row>
    <row r="405">
      <c r="E405" s="46"/>
    </row>
    <row r="406">
      <c r="E406" s="46"/>
    </row>
    <row r="407">
      <c r="E407" s="46"/>
    </row>
    <row r="408">
      <c r="E408" s="46"/>
    </row>
    <row r="409">
      <c r="E409" s="46"/>
    </row>
    <row r="410">
      <c r="E410" s="46"/>
    </row>
    <row r="411">
      <c r="E411" s="46"/>
    </row>
    <row r="412">
      <c r="E412" s="46"/>
    </row>
    <row r="413">
      <c r="E413" s="46"/>
    </row>
    <row r="414">
      <c r="E414" s="46"/>
    </row>
    <row r="415">
      <c r="E415" s="46"/>
    </row>
    <row r="416">
      <c r="E416" s="46"/>
    </row>
    <row r="417">
      <c r="E417" s="46"/>
    </row>
    <row r="418">
      <c r="E418" s="46"/>
    </row>
    <row r="419">
      <c r="E419" s="46"/>
    </row>
    <row r="420">
      <c r="E420" s="46"/>
    </row>
    <row r="421">
      <c r="E421" s="46"/>
    </row>
    <row r="422">
      <c r="E422" s="46"/>
    </row>
    <row r="423">
      <c r="E423" s="46"/>
    </row>
    <row r="424">
      <c r="E424" s="46"/>
    </row>
    <row r="425">
      <c r="E425" s="46"/>
    </row>
    <row r="426">
      <c r="E426" s="46"/>
    </row>
    <row r="427">
      <c r="E427" s="46"/>
    </row>
    <row r="428">
      <c r="E428" s="46"/>
    </row>
    <row r="429">
      <c r="E429" s="46"/>
    </row>
    <row r="430">
      <c r="E430" s="46"/>
    </row>
    <row r="431">
      <c r="E431" s="46"/>
    </row>
    <row r="432">
      <c r="E432" s="46"/>
    </row>
    <row r="433">
      <c r="E433" s="46"/>
    </row>
    <row r="434">
      <c r="E434" s="46"/>
    </row>
    <row r="435">
      <c r="E435" s="46"/>
    </row>
    <row r="436">
      <c r="E436" s="46"/>
    </row>
    <row r="437">
      <c r="E437" s="46"/>
    </row>
    <row r="438">
      <c r="E438" s="46"/>
    </row>
    <row r="439">
      <c r="E439" s="46"/>
    </row>
    <row r="440">
      <c r="E440" s="46"/>
    </row>
    <row r="441">
      <c r="E441" s="46"/>
    </row>
    <row r="442">
      <c r="E442" s="46"/>
    </row>
    <row r="443">
      <c r="E443" s="46"/>
    </row>
    <row r="444">
      <c r="E444" s="46"/>
    </row>
    <row r="445">
      <c r="E445" s="46"/>
    </row>
    <row r="446">
      <c r="E446" s="46"/>
    </row>
    <row r="447">
      <c r="E447" s="46"/>
    </row>
    <row r="448">
      <c r="E448" s="46"/>
    </row>
    <row r="449">
      <c r="E449" s="46"/>
    </row>
    <row r="450">
      <c r="E450" s="46"/>
    </row>
    <row r="451">
      <c r="E451" s="46"/>
    </row>
    <row r="452">
      <c r="E452" s="46"/>
    </row>
    <row r="453">
      <c r="E453" s="46"/>
    </row>
    <row r="454">
      <c r="E454" s="46"/>
    </row>
    <row r="455">
      <c r="E455" s="46"/>
    </row>
    <row r="456">
      <c r="E456" s="46"/>
    </row>
    <row r="457">
      <c r="E457" s="46"/>
    </row>
    <row r="458">
      <c r="E458" s="46"/>
    </row>
    <row r="459">
      <c r="E459" s="46"/>
    </row>
    <row r="460">
      <c r="E460" s="46"/>
    </row>
    <row r="461">
      <c r="E461" s="46"/>
    </row>
    <row r="462">
      <c r="E462" s="46"/>
    </row>
    <row r="463">
      <c r="E463" s="46"/>
    </row>
    <row r="464">
      <c r="E464" s="46"/>
    </row>
    <row r="465">
      <c r="E465" s="46"/>
    </row>
    <row r="466">
      <c r="E466" s="46"/>
    </row>
    <row r="467">
      <c r="E467" s="46"/>
    </row>
    <row r="468">
      <c r="E468" s="46"/>
    </row>
    <row r="469">
      <c r="E469" s="46"/>
    </row>
    <row r="470">
      <c r="E470" s="46"/>
    </row>
    <row r="471">
      <c r="E471" s="46"/>
    </row>
    <row r="472">
      <c r="E472" s="46"/>
    </row>
    <row r="473">
      <c r="E473" s="46"/>
    </row>
    <row r="474">
      <c r="E474" s="46"/>
    </row>
    <row r="475">
      <c r="E475" s="46"/>
    </row>
    <row r="476">
      <c r="E476" s="46"/>
    </row>
    <row r="477">
      <c r="E477" s="46"/>
    </row>
    <row r="478">
      <c r="E478" s="46"/>
    </row>
    <row r="479">
      <c r="E479" s="46"/>
    </row>
    <row r="480">
      <c r="E480" s="46"/>
    </row>
    <row r="481">
      <c r="E481" s="46"/>
    </row>
    <row r="482">
      <c r="E482" s="46"/>
    </row>
    <row r="483">
      <c r="E483" s="46"/>
    </row>
    <row r="484">
      <c r="E484" s="46"/>
    </row>
    <row r="485">
      <c r="E485" s="46"/>
    </row>
    <row r="486">
      <c r="E486" s="46"/>
    </row>
    <row r="487">
      <c r="E487" s="46"/>
    </row>
    <row r="488">
      <c r="E488" s="46"/>
    </row>
    <row r="489">
      <c r="E489" s="46"/>
    </row>
    <row r="490">
      <c r="E490" s="46"/>
    </row>
    <row r="491">
      <c r="E491" s="46"/>
    </row>
    <row r="492">
      <c r="E492" s="46"/>
    </row>
    <row r="493">
      <c r="E493" s="46"/>
    </row>
    <row r="494">
      <c r="E494" s="46"/>
    </row>
    <row r="495">
      <c r="E495" s="46"/>
    </row>
    <row r="496">
      <c r="E496" s="46"/>
    </row>
    <row r="497">
      <c r="E497" s="46"/>
    </row>
    <row r="498">
      <c r="E498" s="46"/>
    </row>
    <row r="499">
      <c r="E499" s="46"/>
    </row>
    <row r="500">
      <c r="E500" s="46"/>
    </row>
    <row r="501">
      <c r="E501" s="46"/>
    </row>
    <row r="502">
      <c r="E502" s="46"/>
    </row>
    <row r="503">
      <c r="E503" s="46"/>
    </row>
    <row r="504">
      <c r="E504" s="46"/>
    </row>
    <row r="505">
      <c r="E505" s="46"/>
    </row>
    <row r="506">
      <c r="E506" s="46"/>
    </row>
    <row r="507">
      <c r="E507" s="46"/>
    </row>
    <row r="508">
      <c r="E508" s="46"/>
    </row>
    <row r="509">
      <c r="E509" s="46"/>
    </row>
    <row r="510">
      <c r="E510" s="46"/>
    </row>
    <row r="511">
      <c r="E511" s="46"/>
    </row>
    <row r="512">
      <c r="E512" s="46"/>
    </row>
    <row r="513">
      <c r="E513" s="46"/>
    </row>
    <row r="514">
      <c r="E514" s="46"/>
    </row>
    <row r="515">
      <c r="E515" s="46"/>
    </row>
    <row r="516">
      <c r="E516" s="46"/>
    </row>
    <row r="517">
      <c r="E517" s="46"/>
    </row>
    <row r="518">
      <c r="E518" s="46"/>
    </row>
    <row r="519">
      <c r="E519" s="46"/>
    </row>
    <row r="520">
      <c r="E520" s="46"/>
    </row>
    <row r="521">
      <c r="E521" s="46"/>
    </row>
    <row r="522">
      <c r="E522" s="46"/>
    </row>
    <row r="523">
      <c r="E523" s="46"/>
    </row>
    <row r="524">
      <c r="E524" s="46"/>
    </row>
    <row r="525">
      <c r="E525" s="46"/>
    </row>
    <row r="526">
      <c r="E526" s="46"/>
    </row>
    <row r="527">
      <c r="E527" s="46"/>
    </row>
    <row r="528">
      <c r="E528" s="46"/>
    </row>
    <row r="529">
      <c r="E529" s="46"/>
    </row>
    <row r="530">
      <c r="E530" s="46"/>
    </row>
    <row r="531">
      <c r="E531" s="46"/>
    </row>
    <row r="532">
      <c r="E532" s="46"/>
    </row>
    <row r="533">
      <c r="E533" s="46"/>
    </row>
    <row r="534">
      <c r="E534" s="46"/>
    </row>
    <row r="535">
      <c r="E535" s="46"/>
    </row>
    <row r="536">
      <c r="E536" s="46"/>
    </row>
    <row r="537">
      <c r="E537" s="46"/>
    </row>
    <row r="538">
      <c r="E538" s="46"/>
    </row>
    <row r="539">
      <c r="E539" s="46"/>
    </row>
    <row r="540">
      <c r="E540" s="46"/>
    </row>
    <row r="541">
      <c r="E541" s="46"/>
    </row>
    <row r="542">
      <c r="E542" s="46"/>
    </row>
    <row r="543">
      <c r="E543" s="46"/>
    </row>
    <row r="544">
      <c r="E544" s="46"/>
    </row>
    <row r="545">
      <c r="E545" s="46"/>
    </row>
    <row r="546">
      <c r="E546" s="46"/>
    </row>
    <row r="547">
      <c r="E547" s="46"/>
    </row>
    <row r="548">
      <c r="E548" s="46"/>
    </row>
    <row r="549">
      <c r="E549" s="46"/>
    </row>
    <row r="550">
      <c r="E550" s="46"/>
    </row>
    <row r="551">
      <c r="E551" s="46"/>
    </row>
    <row r="552">
      <c r="E552" s="46"/>
    </row>
    <row r="553">
      <c r="E553" s="46"/>
    </row>
    <row r="554">
      <c r="E554" s="46"/>
    </row>
    <row r="555">
      <c r="E555" s="46"/>
    </row>
    <row r="556">
      <c r="E556" s="46"/>
    </row>
    <row r="557">
      <c r="E557" s="46"/>
    </row>
    <row r="558">
      <c r="E558" s="46"/>
    </row>
    <row r="559">
      <c r="E559" s="46"/>
    </row>
    <row r="560">
      <c r="E560" s="46"/>
    </row>
    <row r="561">
      <c r="E561" s="46"/>
    </row>
    <row r="562">
      <c r="E562" s="46"/>
    </row>
    <row r="563">
      <c r="E563" s="46"/>
    </row>
    <row r="564">
      <c r="E564" s="46"/>
    </row>
    <row r="565">
      <c r="E565" s="46"/>
    </row>
    <row r="566">
      <c r="E566" s="46"/>
    </row>
    <row r="567">
      <c r="E567" s="46"/>
    </row>
    <row r="568">
      <c r="E568" s="46"/>
    </row>
    <row r="569">
      <c r="E569" s="46"/>
    </row>
    <row r="570">
      <c r="E570" s="46"/>
    </row>
    <row r="571">
      <c r="E571" s="46"/>
    </row>
    <row r="572">
      <c r="E572" s="46"/>
    </row>
    <row r="573">
      <c r="E573" s="46"/>
    </row>
    <row r="574">
      <c r="E574" s="46"/>
    </row>
    <row r="575">
      <c r="E575" s="46"/>
    </row>
    <row r="576">
      <c r="E576" s="46"/>
    </row>
    <row r="577">
      <c r="E577" s="46"/>
    </row>
    <row r="578">
      <c r="E578" s="46"/>
    </row>
    <row r="579">
      <c r="E579" s="46"/>
    </row>
    <row r="580">
      <c r="E580" s="46"/>
    </row>
    <row r="581">
      <c r="E581" s="46"/>
    </row>
    <row r="582">
      <c r="E582" s="46"/>
    </row>
    <row r="583">
      <c r="E583" s="46"/>
    </row>
    <row r="584">
      <c r="E584" s="46"/>
    </row>
    <row r="585">
      <c r="E585" s="46"/>
    </row>
    <row r="586">
      <c r="E586" s="46"/>
    </row>
    <row r="587">
      <c r="E587" s="46"/>
    </row>
    <row r="588">
      <c r="E588" s="46"/>
    </row>
    <row r="589">
      <c r="E589" s="46"/>
    </row>
    <row r="590">
      <c r="E590" s="46"/>
    </row>
    <row r="591">
      <c r="E591" s="46"/>
    </row>
    <row r="592">
      <c r="E592" s="46"/>
    </row>
    <row r="593">
      <c r="E593" s="46"/>
    </row>
    <row r="594">
      <c r="E594" s="46"/>
    </row>
    <row r="595">
      <c r="E595" s="46"/>
    </row>
    <row r="596">
      <c r="E596" s="46"/>
    </row>
    <row r="597">
      <c r="E597" s="46"/>
    </row>
    <row r="598">
      <c r="E598" s="46"/>
    </row>
    <row r="599">
      <c r="E599" s="46"/>
    </row>
    <row r="600">
      <c r="E600" s="46"/>
    </row>
    <row r="601">
      <c r="E601" s="46"/>
    </row>
    <row r="602">
      <c r="E602" s="46"/>
    </row>
    <row r="603">
      <c r="E603" s="46"/>
    </row>
    <row r="604">
      <c r="E604" s="46"/>
    </row>
    <row r="605">
      <c r="E605" s="46"/>
    </row>
    <row r="606">
      <c r="E606" s="46"/>
    </row>
    <row r="607">
      <c r="E607" s="46"/>
    </row>
    <row r="608">
      <c r="E608" s="46"/>
    </row>
    <row r="609">
      <c r="E609" s="46"/>
    </row>
    <row r="610">
      <c r="E610" s="46"/>
    </row>
    <row r="611">
      <c r="E611" s="46"/>
    </row>
    <row r="612">
      <c r="E612" s="46"/>
    </row>
    <row r="613">
      <c r="E613" s="46"/>
    </row>
    <row r="614">
      <c r="E614" s="46"/>
    </row>
    <row r="615">
      <c r="E615" s="46"/>
    </row>
    <row r="616">
      <c r="E616" s="46"/>
    </row>
    <row r="617">
      <c r="E617" s="46"/>
    </row>
    <row r="618">
      <c r="E618" s="46"/>
    </row>
    <row r="619">
      <c r="E619" s="46"/>
    </row>
    <row r="620">
      <c r="E620" s="46"/>
    </row>
    <row r="621">
      <c r="E621" s="46"/>
    </row>
    <row r="622">
      <c r="E622" s="46"/>
    </row>
    <row r="623">
      <c r="E623" s="46"/>
    </row>
    <row r="624">
      <c r="E624" s="46"/>
    </row>
    <row r="625">
      <c r="E625" s="46"/>
    </row>
    <row r="626">
      <c r="E626" s="46"/>
    </row>
    <row r="627">
      <c r="E627" s="46"/>
    </row>
    <row r="628">
      <c r="E628" s="46"/>
    </row>
    <row r="629">
      <c r="E629" s="46"/>
    </row>
    <row r="630">
      <c r="E630" s="46"/>
    </row>
    <row r="631">
      <c r="E631" s="46"/>
    </row>
    <row r="632">
      <c r="E632" s="46"/>
    </row>
    <row r="633">
      <c r="E633" s="46"/>
    </row>
    <row r="634">
      <c r="E634" s="46"/>
    </row>
    <row r="635">
      <c r="E635" s="46"/>
    </row>
    <row r="636">
      <c r="E636" s="46"/>
    </row>
    <row r="637">
      <c r="E637" s="46"/>
    </row>
    <row r="638">
      <c r="E638" s="46"/>
    </row>
    <row r="639">
      <c r="E639" s="46"/>
    </row>
    <row r="640">
      <c r="E640" s="46"/>
    </row>
    <row r="641">
      <c r="E641" s="46"/>
    </row>
    <row r="642">
      <c r="E642" s="46"/>
    </row>
    <row r="643">
      <c r="E643" s="46"/>
    </row>
    <row r="644">
      <c r="E644" s="46"/>
    </row>
    <row r="645">
      <c r="E645" s="46"/>
    </row>
    <row r="646">
      <c r="E646" s="46"/>
    </row>
    <row r="647">
      <c r="E647" s="46"/>
    </row>
    <row r="648">
      <c r="E648" s="46"/>
    </row>
    <row r="649">
      <c r="E649" s="46"/>
    </row>
    <row r="650">
      <c r="E650" s="46"/>
    </row>
    <row r="651">
      <c r="E651" s="46"/>
    </row>
    <row r="652">
      <c r="E652" s="46"/>
    </row>
    <row r="653">
      <c r="E653" s="46"/>
    </row>
    <row r="654">
      <c r="E654" s="46"/>
    </row>
    <row r="655">
      <c r="E655" s="46"/>
    </row>
    <row r="656">
      <c r="E656" s="46"/>
    </row>
    <row r="657">
      <c r="E657" s="46"/>
    </row>
    <row r="658">
      <c r="E658" s="46"/>
    </row>
    <row r="659">
      <c r="E659" s="46"/>
    </row>
    <row r="660">
      <c r="E660" s="46"/>
    </row>
    <row r="661">
      <c r="E661" s="46"/>
    </row>
    <row r="662">
      <c r="E662" s="46"/>
    </row>
    <row r="663">
      <c r="E663" s="46"/>
    </row>
    <row r="664">
      <c r="E664" s="46"/>
    </row>
    <row r="665">
      <c r="E665" s="46"/>
    </row>
    <row r="666">
      <c r="E666" s="46"/>
    </row>
    <row r="667">
      <c r="E667" s="46"/>
    </row>
    <row r="668">
      <c r="E668" s="46"/>
    </row>
    <row r="669">
      <c r="E669" s="46"/>
    </row>
    <row r="670">
      <c r="E670" s="46"/>
    </row>
    <row r="671">
      <c r="E671" s="46"/>
    </row>
    <row r="672">
      <c r="E672" s="46"/>
    </row>
    <row r="673">
      <c r="E673" s="46"/>
    </row>
    <row r="674">
      <c r="E674" s="46"/>
    </row>
    <row r="675">
      <c r="E675" s="46"/>
    </row>
    <row r="676">
      <c r="E676" s="46"/>
    </row>
    <row r="677">
      <c r="E677" s="46"/>
    </row>
    <row r="678">
      <c r="E678" s="46"/>
    </row>
    <row r="679">
      <c r="E679" s="46"/>
    </row>
    <row r="680">
      <c r="E680" s="46"/>
    </row>
    <row r="681">
      <c r="E681" s="46"/>
    </row>
    <row r="682">
      <c r="E682" s="46"/>
    </row>
    <row r="683">
      <c r="E683" s="46"/>
    </row>
    <row r="684">
      <c r="E684" s="46"/>
    </row>
    <row r="685">
      <c r="E685" s="46"/>
    </row>
    <row r="686">
      <c r="E686" s="46"/>
    </row>
    <row r="687">
      <c r="E687" s="46"/>
    </row>
    <row r="688">
      <c r="E688" s="46"/>
    </row>
    <row r="689">
      <c r="E689" s="46"/>
    </row>
    <row r="690">
      <c r="E690" s="46"/>
    </row>
    <row r="691">
      <c r="E691" s="46"/>
    </row>
    <row r="692">
      <c r="E692" s="46"/>
    </row>
    <row r="693">
      <c r="E693" s="46"/>
    </row>
    <row r="694">
      <c r="E694" s="46"/>
    </row>
    <row r="695">
      <c r="E695" s="46"/>
    </row>
    <row r="696">
      <c r="E696" s="46"/>
    </row>
    <row r="697">
      <c r="E697" s="46"/>
    </row>
    <row r="698">
      <c r="E698" s="46"/>
    </row>
    <row r="699">
      <c r="E699" s="46"/>
    </row>
    <row r="700">
      <c r="E700" s="46"/>
    </row>
    <row r="701">
      <c r="E701" s="46"/>
    </row>
    <row r="702">
      <c r="E702" s="46"/>
    </row>
    <row r="703">
      <c r="E703" s="46"/>
    </row>
    <row r="704">
      <c r="E704" s="46"/>
    </row>
    <row r="705">
      <c r="E705" s="46"/>
    </row>
    <row r="706">
      <c r="E706" s="46"/>
    </row>
    <row r="707">
      <c r="E707" s="46"/>
    </row>
    <row r="708">
      <c r="E708" s="46"/>
    </row>
    <row r="709">
      <c r="E709" s="46"/>
    </row>
    <row r="710">
      <c r="E710" s="46"/>
    </row>
    <row r="711">
      <c r="E711" s="46"/>
    </row>
    <row r="712">
      <c r="E712" s="46"/>
    </row>
    <row r="713">
      <c r="E713" s="46"/>
    </row>
    <row r="714">
      <c r="E714" s="46"/>
    </row>
    <row r="715">
      <c r="E715" s="46"/>
    </row>
    <row r="716">
      <c r="E716" s="46"/>
    </row>
    <row r="717">
      <c r="E717" s="46"/>
    </row>
    <row r="718">
      <c r="E718" s="46"/>
    </row>
    <row r="719">
      <c r="E719" s="46"/>
    </row>
    <row r="720">
      <c r="E720" s="46"/>
    </row>
    <row r="721">
      <c r="E721" s="46"/>
    </row>
    <row r="722">
      <c r="E722" s="46"/>
    </row>
    <row r="723">
      <c r="E723" s="46"/>
    </row>
    <row r="724">
      <c r="E724" s="46"/>
    </row>
    <row r="725">
      <c r="E725" s="46"/>
    </row>
    <row r="726">
      <c r="E726" s="46"/>
    </row>
    <row r="727">
      <c r="E727" s="46"/>
    </row>
    <row r="728">
      <c r="E728" s="46"/>
    </row>
    <row r="729">
      <c r="E729" s="46"/>
    </row>
    <row r="730">
      <c r="E730" s="46"/>
    </row>
    <row r="731">
      <c r="E731" s="46"/>
    </row>
    <row r="732">
      <c r="E732" s="46"/>
    </row>
    <row r="733">
      <c r="E733" s="46"/>
    </row>
    <row r="734">
      <c r="E734" s="46"/>
    </row>
    <row r="735">
      <c r="E735" s="46"/>
    </row>
    <row r="736">
      <c r="E736" s="46"/>
    </row>
    <row r="737">
      <c r="E737" s="46"/>
    </row>
    <row r="738">
      <c r="E738" s="46"/>
    </row>
    <row r="739">
      <c r="E739" s="46"/>
    </row>
    <row r="740">
      <c r="E740" s="46"/>
    </row>
    <row r="741">
      <c r="E741" s="46"/>
    </row>
    <row r="742">
      <c r="E742" s="46"/>
    </row>
    <row r="743">
      <c r="E743" s="46"/>
    </row>
    <row r="744">
      <c r="E744" s="46"/>
    </row>
    <row r="745">
      <c r="E745" s="46"/>
    </row>
    <row r="746">
      <c r="E746" s="46"/>
    </row>
    <row r="747">
      <c r="E747" s="46"/>
    </row>
    <row r="748">
      <c r="E748" s="46"/>
    </row>
    <row r="749">
      <c r="E749" s="46"/>
    </row>
    <row r="750">
      <c r="E750" s="46"/>
    </row>
    <row r="751">
      <c r="E751" s="46"/>
    </row>
    <row r="752">
      <c r="E752" s="46"/>
    </row>
    <row r="753">
      <c r="E753" s="46"/>
    </row>
    <row r="754">
      <c r="E754" s="46"/>
    </row>
    <row r="755">
      <c r="E755" s="46"/>
    </row>
    <row r="756">
      <c r="E756" s="46"/>
    </row>
    <row r="757">
      <c r="E757" s="46"/>
    </row>
    <row r="758">
      <c r="E758" s="46"/>
    </row>
    <row r="759">
      <c r="E759" s="46"/>
    </row>
    <row r="760">
      <c r="E760" s="46"/>
    </row>
    <row r="761">
      <c r="E761" s="46"/>
    </row>
    <row r="762">
      <c r="E762" s="46"/>
    </row>
    <row r="763">
      <c r="E763" s="46"/>
    </row>
    <row r="764">
      <c r="E764" s="46"/>
    </row>
    <row r="765">
      <c r="E765" s="46"/>
    </row>
    <row r="766">
      <c r="E766" s="46"/>
    </row>
    <row r="767">
      <c r="E767" s="46"/>
    </row>
    <row r="768">
      <c r="E768" s="46"/>
    </row>
    <row r="769">
      <c r="E769" s="46"/>
    </row>
    <row r="770">
      <c r="E770" s="46"/>
    </row>
    <row r="771">
      <c r="E771" s="46"/>
    </row>
    <row r="772">
      <c r="E772" s="46"/>
    </row>
    <row r="773">
      <c r="E773" s="46"/>
    </row>
    <row r="774">
      <c r="E774" s="46"/>
    </row>
    <row r="775">
      <c r="E775" s="46"/>
    </row>
    <row r="776">
      <c r="E776" s="46"/>
    </row>
    <row r="777">
      <c r="E777" s="46"/>
    </row>
    <row r="778">
      <c r="E778" s="46"/>
    </row>
    <row r="779">
      <c r="E779" s="46"/>
    </row>
    <row r="780">
      <c r="E780" s="46"/>
    </row>
    <row r="781">
      <c r="E781" s="46"/>
    </row>
    <row r="782">
      <c r="E782" s="46"/>
    </row>
    <row r="783">
      <c r="E783" s="46"/>
    </row>
    <row r="784">
      <c r="E784" s="46"/>
    </row>
    <row r="785">
      <c r="E785" s="46"/>
    </row>
    <row r="786">
      <c r="E786" s="46"/>
    </row>
    <row r="787">
      <c r="E787" s="46"/>
    </row>
    <row r="788">
      <c r="E788" s="46"/>
    </row>
    <row r="789">
      <c r="E789" s="46"/>
    </row>
    <row r="790">
      <c r="E790" s="46"/>
    </row>
    <row r="791">
      <c r="E791" s="46"/>
    </row>
    <row r="792">
      <c r="E792" s="46"/>
    </row>
    <row r="793">
      <c r="E793" s="46"/>
    </row>
    <row r="794">
      <c r="E794" s="46"/>
    </row>
    <row r="795">
      <c r="E795" s="46"/>
    </row>
    <row r="796">
      <c r="E796" s="46"/>
    </row>
    <row r="797">
      <c r="E797" s="46"/>
    </row>
    <row r="798">
      <c r="E798" s="46"/>
    </row>
    <row r="799">
      <c r="E799" s="46"/>
    </row>
    <row r="800">
      <c r="E800" s="46"/>
    </row>
    <row r="801">
      <c r="E801" s="46"/>
    </row>
    <row r="802">
      <c r="E802" s="46"/>
    </row>
    <row r="803">
      <c r="E803" s="46"/>
    </row>
    <row r="804">
      <c r="E804" s="46"/>
    </row>
    <row r="805">
      <c r="E805" s="46"/>
    </row>
    <row r="806">
      <c r="E806" s="46"/>
    </row>
    <row r="807">
      <c r="E807" s="46"/>
    </row>
    <row r="808">
      <c r="E808" s="46"/>
    </row>
    <row r="809">
      <c r="E809" s="46"/>
    </row>
    <row r="810">
      <c r="E810" s="46"/>
    </row>
    <row r="811">
      <c r="E811" s="46"/>
    </row>
    <row r="812">
      <c r="E812" s="46"/>
    </row>
    <row r="813">
      <c r="E813" s="46"/>
    </row>
    <row r="814">
      <c r="E814" s="46"/>
    </row>
    <row r="815">
      <c r="E815" s="46"/>
    </row>
    <row r="816">
      <c r="E816" s="46"/>
    </row>
    <row r="817">
      <c r="E817" s="46"/>
    </row>
    <row r="818">
      <c r="E818" s="46"/>
    </row>
    <row r="819">
      <c r="E819" s="46"/>
    </row>
    <row r="820">
      <c r="E820" s="46"/>
    </row>
    <row r="821">
      <c r="E821" s="46"/>
    </row>
    <row r="822">
      <c r="E822" s="46"/>
    </row>
    <row r="823">
      <c r="E823" s="46"/>
    </row>
    <row r="824">
      <c r="E824" s="46"/>
    </row>
    <row r="825">
      <c r="E825" s="46"/>
    </row>
    <row r="826">
      <c r="E826" s="46"/>
    </row>
    <row r="827">
      <c r="E827" s="46"/>
    </row>
    <row r="828">
      <c r="E828" s="46"/>
    </row>
    <row r="829">
      <c r="E829" s="46"/>
    </row>
    <row r="830">
      <c r="E830" s="46"/>
    </row>
    <row r="831">
      <c r="E831" s="46"/>
    </row>
    <row r="832">
      <c r="E832" s="46"/>
    </row>
    <row r="833">
      <c r="E833" s="46"/>
    </row>
    <row r="834">
      <c r="E834" s="46"/>
    </row>
    <row r="835">
      <c r="E835" s="46"/>
    </row>
    <row r="836">
      <c r="E836" s="46"/>
    </row>
    <row r="837">
      <c r="E837" s="46"/>
    </row>
    <row r="838">
      <c r="E838" s="46"/>
    </row>
    <row r="839">
      <c r="E839" s="46"/>
    </row>
    <row r="840">
      <c r="E840" s="46"/>
    </row>
    <row r="841">
      <c r="E841" s="46"/>
    </row>
    <row r="842">
      <c r="E842" s="46"/>
    </row>
    <row r="843">
      <c r="E843" s="46"/>
    </row>
    <row r="844">
      <c r="E844" s="46"/>
    </row>
    <row r="845">
      <c r="E845" s="46"/>
    </row>
    <row r="846">
      <c r="E846" s="46"/>
    </row>
    <row r="847">
      <c r="E847" s="46"/>
    </row>
    <row r="848">
      <c r="E848" s="46"/>
    </row>
    <row r="849">
      <c r="E849" s="46"/>
    </row>
    <row r="850">
      <c r="E850" s="46"/>
    </row>
    <row r="851">
      <c r="E851" s="46"/>
    </row>
    <row r="852">
      <c r="E852" s="46"/>
    </row>
    <row r="853">
      <c r="E853" s="46"/>
    </row>
    <row r="854">
      <c r="E854" s="46"/>
    </row>
    <row r="855">
      <c r="E855" s="46"/>
    </row>
    <row r="856">
      <c r="E856" s="46"/>
    </row>
    <row r="857">
      <c r="E857" s="46"/>
    </row>
    <row r="858">
      <c r="E858" s="46"/>
    </row>
    <row r="859">
      <c r="E859" s="46"/>
    </row>
    <row r="860">
      <c r="E860" s="46"/>
    </row>
    <row r="861">
      <c r="E861" s="46"/>
    </row>
    <row r="862">
      <c r="E862" s="46"/>
    </row>
    <row r="863">
      <c r="E863" s="46"/>
    </row>
    <row r="864">
      <c r="E864" s="46"/>
    </row>
    <row r="865">
      <c r="E865" s="46"/>
    </row>
    <row r="866">
      <c r="E866" s="46"/>
    </row>
    <row r="867">
      <c r="E867" s="46"/>
    </row>
    <row r="868">
      <c r="E868" s="46"/>
    </row>
    <row r="869">
      <c r="E869" s="46"/>
    </row>
    <row r="870">
      <c r="E870" s="46"/>
    </row>
    <row r="871">
      <c r="E871" s="46"/>
    </row>
    <row r="872">
      <c r="E872" s="46"/>
    </row>
    <row r="873">
      <c r="E873" s="46"/>
    </row>
    <row r="874">
      <c r="E874" s="46"/>
    </row>
    <row r="875">
      <c r="E875" s="46"/>
    </row>
    <row r="876">
      <c r="E876" s="46"/>
    </row>
    <row r="877">
      <c r="E877" s="46"/>
    </row>
    <row r="878">
      <c r="E878" s="46"/>
    </row>
    <row r="879">
      <c r="E879" s="46"/>
    </row>
    <row r="880">
      <c r="E880" s="46"/>
    </row>
    <row r="881">
      <c r="E881" s="46"/>
    </row>
    <row r="882">
      <c r="E882" s="46"/>
    </row>
    <row r="883">
      <c r="E883" s="46"/>
    </row>
    <row r="884">
      <c r="E884" s="46"/>
    </row>
    <row r="885">
      <c r="E885" s="46"/>
    </row>
    <row r="886">
      <c r="E886" s="46"/>
    </row>
    <row r="887">
      <c r="E887" s="46"/>
    </row>
    <row r="888">
      <c r="E888" s="46"/>
    </row>
    <row r="889">
      <c r="E889" s="46"/>
    </row>
    <row r="890">
      <c r="E890" s="46"/>
    </row>
    <row r="891">
      <c r="E891" s="46"/>
    </row>
    <row r="892">
      <c r="E892" s="46"/>
    </row>
    <row r="893">
      <c r="E893" s="46"/>
    </row>
    <row r="894">
      <c r="E894" s="46"/>
    </row>
    <row r="895">
      <c r="E895" s="46"/>
    </row>
    <row r="896">
      <c r="E896" s="46"/>
    </row>
    <row r="897">
      <c r="E897" s="46"/>
    </row>
    <row r="898">
      <c r="E898" s="46"/>
    </row>
    <row r="899">
      <c r="E899" s="46"/>
    </row>
    <row r="900">
      <c r="E900" s="46"/>
    </row>
    <row r="901">
      <c r="E901" s="46"/>
    </row>
    <row r="902">
      <c r="E902" s="46"/>
    </row>
    <row r="903">
      <c r="E903" s="46"/>
    </row>
    <row r="904">
      <c r="E904" s="46"/>
    </row>
    <row r="905">
      <c r="E905" s="46"/>
    </row>
    <row r="906">
      <c r="E906" s="46"/>
    </row>
    <row r="907">
      <c r="E907" s="46"/>
    </row>
    <row r="908">
      <c r="E908" s="46"/>
    </row>
    <row r="909">
      <c r="E909" s="46"/>
    </row>
    <row r="910">
      <c r="E910" s="46"/>
    </row>
    <row r="911">
      <c r="E911" s="46"/>
    </row>
    <row r="912">
      <c r="E912" s="46"/>
    </row>
    <row r="913">
      <c r="E913" s="46"/>
    </row>
    <row r="914">
      <c r="E914" s="46"/>
    </row>
    <row r="915">
      <c r="E915" s="46"/>
    </row>
    <row r="916">
      <c r="E916" s="46"/>
    </row>
    <row r="917">
      <c r="E917" s="46"/>
    </row>
    <row r="918">
      <c r="E918" s="46"/>
    </row>
    <row r="919">
      <c r="E919" s="46"/>
    </row>
    <row r="920">
      <c r="E920" s="46"/>
    </row>
    <row r="921">
      <c r="E921" s="46"/>
    </row>
    <row r="922">
      <c r="E922" s="46"/>
    </row>
    <row r="923">
      <c r="E923" s="46"/>
    </row>
    <row r="924">
      <c r="E924" s="46"/>
    </row>
    <row r="925">
      <c r="E925" s="46"/>
    </row>
    <row r="926">
      <c r="E926" s="46"/>
    </row>
    <row r="927">
      <c r="E927" s="46"/>
    </row>
    <row r="928">
      <c r="E928" s="46"/>
    </row>
    <row r="929">
      <c r="E929" s="46"/>
    </row>
    <row r="930">
      <c r="E930" s="46"/>
    </row>
    <row r="931">
      <c r="E931" s="46"/>
    </row>
    <row r="932">
      <c r="E932" s="46"/>
    </row>
    <row r="933">
      <c r="E933" s="46"/>
    </row>
    <row r="934">
      <c r="E934" s="46"/>
    </row>
    <row r="935">
      <c r="E935" s="46"/>
    </row>
    <row r="936">
      <c r="E936" s="46"/>
    </row>
    <row r="937">
      <c r="E937" s="46"/>
    </row>
    <row r="938">
      <c r="E938" s="46"/>
    </row>
    <row r="939">
      <c r="E939" s="46"/>
    </row>
    <row r="940">
      <c r="E940" s="46"/>
    </row>
    <row r="941">
      <c r="E941" s="46"/>
    </row>
    <row r="942">
      <c r="E942" s="46"/>
    </row>
    <row r="943">
      <c r="E943" s="46"/>
    </row>
    <row r="944">
      <c r="E944" s="46"/>
    </row>
    <row r="945">
      <c r="E945" s="46"/>
    </row>
    <row r="946">
      <c r="E946" s="46"/>
    </row>
    <row r="947">
      <c r="E947" s="46"/>
    </row>
    <row r="948">
      <c r="E948" s="46"/>
    </row>
    <row r="949">
      <c r="E949" s="46"/>
    </row>
    <row r="950">
      <c r="E950" s="46"/>
    </row>
    <row r="951">
      <c r="E951" s="46"/>
    </row>
    <row r="952">
      <c r="E952" s="46"/>
    </row>
    <row r="953">
      <c r="E953" s="46"/>
    </row>
    <row r="954">
      <c r="E954" s="46"/>
    </row>
    <row r="955">
      <c r="E955" s="46"/>
    </row>
    <row r="956">
      <c r="E956" s="46"/>
    </row>
    <row r="957">
      <c r="E957" s="46"/>
    </row>
    <row r="958">
      <c r="E958" s="46"/>
    </row>
    <row r="959">
      <c r="E959" s="46"/>
    </row>
    <row r="960">
      <c r="E960" s="46"/>
    </row>
    <row r="961">
      <c r="E961" s="46"/>
    </row>
    <row r="962">
      <c r="E962" s="46"/>
    </row>
    <row r="963">
      <c r="E963" s="46"/>
    </row>
    <row r="964">
      <c r="E964" s="46"/>
    </row>
    <row r="965">
      <c r="E965" s="46"/>
    </row>
    <row r="966">
      <c r="E966" s="46"/>
    </row>
    <row r="967">
      <c r="E967" s="46"/>
    </row>
    <row r="968">
      <c r="E968" s="46"/>
    </row>
    <row r="969">
      <c r="E969" s="46"/>
    </row>
    <row r="970">
      <c r="E970" s="46"/>
    </row>
    <row r="971">
      <c r="E971" s="46"/>
    </row>
    <row r="972">
      <c r="E972" s="46"/>
    </row>
    <row r="973">
      <c r="E973" s="46"/>
    </row>
    <row r="974">
      <c r="E974" s="46"/>
    </row>
    <row r="975">
      <c r="E975" s="46"/>
    </row>
    <row r="976">
      <c r="E976" s="46"/>
    </row>
    <row r="977">
      <c r="E977" s="46"/>
    </row>
    <row r="978">
      <c r="E978" s="46"/>
    </row>
    <row r="979">
      <c r="E979" s="46"/>
    </row>
    <row r="980">
      <c r="E980" s="46"/>
    </row>
    <row r="981">
      <c r="E981" s="46"/>
    </row>
    <row r="982">
      <c r="E982" s="46"/>
    </row>
    <row r="983">
      <c r="E983" s="46"/>
    </row>
    <row r="984">
      <c r="E984" s="46"/>
    </row>
    <row r="985">
      <c r="E985" s="46"/>
    </row>
    <row r="986">
      <c r="E986" s="46"/>
    </row>
    <row r="987">
      <c r="E987" s="46"/>
    </row>
    <row r="988">
      <c r="E988" s="46"/>
    </row>
    <row r="989">
      <c r="E989" s="46"/>
    </row>
    <row r="990">
      <c r="E990" s="46"/>
    </row>
    <row r="991">
      <c r="E991" s="46"/>
    </row>
    <row r="992">
      <c r="E992" s="46"/>
    </row>
    <row r="993">
      <c r="E993" s="46"/>
    </row>
    <row r="994">
      <c r="E994" s="46"/>
    </row>
    <row r="995">
      <c r="E995" s="46"/>
    </row>
    <row r="996">
      <c r="E996" s="46"/>
    </row>
    <row r="997">
      <c r="E997" s="46"/>
    </row>
    <row r="998">
      <c r="E998" s="46"/>
    </row>
    <row r="999">
      <c r="E999" s="46"/>
    </row>
    <row r="1000">
      <c r="E1000" s="46"/>
    </row>
    <row r="1001">
      <c r="E1001" s="46"/>
    </row>
    <row r="1002">
      <c r="E1002" s="46"/>
    </row>
  </sheetData>
  <autoFilter ref="$D$1:$D$1002"/>
  <mergeCells count="6">
    <mergeCell ref="E138:Z139"/>
    <mergeCell ref="E140:Z170"/>
    <mergeCell ref="E173:Z174"/>
    <mergeCell ref="E175:Z205"/>
    <mergeCell ref="E208:Z209"/>
    <mergeCell ref="E210:Z24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2.88"/>
    <col customWidth="1" min="3" max="3" width="64.25"/>
    <col customWidth="1" min="4" max="4" width="3.5"/>
    <col customWidth="1" min="5" max="5" width="31.75"/>
  </cols>
  <sheetData>
    <row r="2">
      <c r="B2" s="460" t="s">
        <v>1098</v>
      </c>
      <c r="C2" s="17"/>
      <c r="E2" s="463" t="s">
        <v>1099</v>
      </c>
    </row>
    <row r="3">
      <c r="B3" s="464" t="s">
        <v>1101</v>
      </c>
      <c r="C3" s="465" t="s">
        <v>1102</v>
      </c>
    </row>
    <row r="4">
      <c r="B4" s="466" t="s">
        <v>1103</v>
      </c>
      <c r="C4" s="467" t="s">
        <v>1104</v>
      </c>
    </row>
    <row r="5">
      <c r="B5" s="466" t="s">
        <v>1105</v>
      </c>
      <c r="C5" s="467" t="s">
        <v>1106</v>
      </c>
    </row>
    <row r="6">
      <c r="B6" s="466" t="s">
        <v>1107</v>
      </c>
      <c r="C6" s="467" t="s">
        <v>1108</v>
      </c>
    </row>
    <row r="7">
      <c r="B7" s="466" t="s">
        <v>1109</v>
      </c>
      <c r="C7" s="467" t="s">
        <v>1110</v>
      </c>
    </row>
    <row r="8">
      <c r="B8" s="468" t="s">
        <v>1111</v>
      </c>
      <c r="C8" s="469" t="s">
        <v>1112</v>
      </c>
    </row>
    <row r="10">
      <c r="B10" s="470" t="s">
        <v>1113</v>
      </c>
      <c r="C10" s="17"/>
    </row>
    <row r="11">
      <c r="B11" s="471" t="s">
        <v>1114</v>
      </c>
      <c r="C11" s="183"/>
    </row>
    <row r="12">
      <c r="B12" s="472" t="s">
        <v>1115</v>
      </c>
      <c r="C12" s="473" t="s">
        <v>1116</v>
      </c>
    </row>
    <row r="13">
      <c r="B13" s="474" t="s">
        <v>1117</v>
      </c>
      <c r="C13" s="475" t="s">
        <v>1118</v>
      </c>
    </row>
    <row r="14">
      <c r="B14" s="474" t="s">
        <v>1103</v>
      </c>
      <c r="C14" s="475" t="s">
        <v>1119</v>
      </c>
    </row>
    <row r="15">
      <c r="B15" s="474" t="s">
        <v>1105</v>
      </c>
      <c r="C15" s="475" t="s">
        <v>1120</v>
      </c>
    </row>
    <row r="16">
      <c r="B16" s="476" t="s">
        <v>1121</v>
      </c>
      <c r="C16" s="477" t="s">
        <v>1122</v>
      </c>
    </row>
    <row r="18">
      <c r="B18" s="478" t="s">
        <v>1123</v>
      </c>
      <c r="C18" s="17"/>
    </row>
    <row r="19">
      <c r="B19" s="471" t="s">
        <v>1124</v>
      </c>
      <c r="C19" s="183"/>
    </row>
    <row r="20">
      <c r="B20" s="472" t="s">
        <v>1115</v>
      </c>
      <c r="C20" s="473" t="s">
        <v>1116</v>
      </c>
    </row>
    <row r="21">
      <c r="B21" s="474" t="s">
        <v>1117</v>
      </c>
      <c r="C21" s="475" t="s">
        <v>1125</v>
      </c>
      <c r="E21" s="463" t="s">
        <v>1126</v>
      </c>
    </row>
    <row r="22">
      <c r="B22" s="474" t="s">
        <v>1103</v>
      </c>
      <c r="C22" s="475" t="s">
        <v>1127</v>
      </c>
    </row>
    <row r="23">
      <c r="B23" s="476" t="s">
        <v>1105</v>
      </c>
      <c r="C23" s="477" t="s">
        <v>1128</v>
      </c>
    </row>
    <row r="24">
      <c r="B24" s="417" t="s">
        <v>1129</v>
      </c>
    </row>
    <row r="27">
      <c r="B27" s="479" t="s">
        <v>1130</v>
      </c>
    </row>
    <row r="29">
      <c r="B29" s="485" t="s">
        <v>1132</v>
      </c>
    </row>
    <row r="31">
      <c r="B31" s="485" t="s">
        <v>1139</v>
      </c>
    </row>
    <row r="33">
      <c r="B33" s="485" t="s">
        <v>1142</v>
      </c>
    </row>
    <row r="35">
      <c r="B35" s="485" t="s">
        <v>1144</v>
      </c>
    </row>
    <row r="37">
      <c r="B37" s="485" t="s">
        <v>1150</v>
      </c>
    </row>
    <row r="39">
      <c r="B39" s="495" t="s">
        <v>1151</v>
      </c>
    </row>
    <row r="42">
      <c r="B42" s="485" t="s">
        <v>1153</v>
      </c>
    </row>
    <row r="52">
      <c r="E52" s="498" t="s">
        <v>1159</v>
      </c>
    </row>
    <row r="54">
      <c r="E54" s="485" t="s">
        <v>1160</v>
      </c>
    </row>
    <row r="55">
      <c r="E55" s="485" t="s">
        <v>1161</v>
      </c>
    </row>
    <row r="56">
      <c r="E56" s="504" t="s">
        <v>1162</v>
      </c>
    </row>
    <row r="57">
      <c r="E57" s="505"/>
    </row>
  </sheetData>
  <mergeCells count="23">
    <mergeCell ref="E21:K22"/>
    <mergeCell ref="E23:K51"/>
    <mergeCell ref="E52:K53"/>
    <mergeCell ref="E54:K54"/>
    <mergeCell ref="E55:K55"/>
    <mergeCell ref="E56:K56"/>
    <mergeCell ref="E57:K57"/>
    <mergeCell ref="B2:C2"/>
    <mergeCell ref="E2:K3"/>
    <mergeCell ref="E4:K20"/>
    <mergeCell ref="B10:C10"/>
    <mergeCell ref="B11:C11"/>
    <mergeCell ref="B18:C18"/>
    <mergeCell ref="B19:C19"/>
    <mergeCell ref="B39:C40"/>
    <mergeCell ref="B42:C43"/>
    <mergeCell ref="B24:C25"/>
    <mergeCell ref="B27:C28"/>
    <mergeCell ref="B29:C30"/>
    <mergeCell ref="B31:C32"/>
    <mergeCell ref="B33:C34"/>
    <mergeCell ref="B35:C36"/>
    <mergeCell ref="B37:C38"/>
  </mergeCells>
  <hyperlinks>
    <hyperlink r:id="rId4" ref="B29"/>
    <hyperlink r:id="rId5" ref="B31"/>
    <hyperlink r:id="rId6" ref="B33"/>
    <hyperlink r:id="rId7" ref="B35"/>
    <hyperlink r:id="rId8" location="heading=h.qakveew9u97" ref="B37"/>
    <hyperlink r:id="rId9" ref="B42"/>
    <hyperlink r:id="rId10" ref="E54"/>
    <hyperlink r:id="rId11" ref="E55"/>
    <hyperlink r:id="rId12" location="heading=h.dv9do8vmuy7z" ref="E56"/>
  </hyperlinks>
  <drawing r:id="rId13"/>
  <legacyDrawing r:id="rId1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6.5"/>
    <col customWidth="1" min="4" max="4" width="11.88"/>
    <col customWidth="1" min="5" max="5" width="17.0"/>
    <col customWidth="1" min="7" max="7" width="16.75"/>
    <col customWidth="1" min="8" max="8" width="21.0"/>
    <col customWidth="1" min="9" max="9" width="18.25"/>
    <col customWidth="1" min="10" max="10" width="21.25"/>
    <col customWidth="1" min="16" max="16" width="17.13"/>
    <col customWidth="1" min="18" max="18" width="15.88"/>
    <col customWidth="1" min="19" max="19" width="0.38"/>
    <col customWidth="1" min="20" max="20" width="15.88"/>
  </cols>
  <sheetData>
    <row r="1">
      <c r="A1" s="124"/>
      <c r="E1" s="125" t="s">
        <v>1131</v>
      </c>
    </row>
    <row r="2">
      <c r="A2" s="124"/>
    </row>
    <row r="3">
      <c r="A3" s="124"/>
    </row>
    <row r="4">
      <c r="A4" s="124"/>
      <c r="E4" s="480" t="s">
        <v>1133</v>
      </c>
      <c r="H4" s="481" t="s">
        <v>1134</v>
      </c>
      <c r="K4" s="482" t="s">
        <v>1135</v>
      </c>
    </row>
    <row r="6">
      <c r="E6" s="483" t="s">
        <v>1136</v>
      </c>
    </row>
    <row r="7">
      <c r="E7" s="484" t="s">
        <v>1137</v>
      </c>
      <c r="H7" s="484" t="s">
        <v>1138</v>
      </c>
      <c r="K7" s="125"/>
      <c r="L7" s="125"/>
      <c r="M7" s="125"/>
    </row>
    <row r="8">
      <c r="K8" s="125"/>
      <c r="L8" s="125"/>
      <c r="M8" s="125"/>
    </row>
    <row r="9">
      <c r="K9" s="125"/>
      <c r="L9" s="125"/>
      <c r="M9" s="125"/>
    </row>
    <row r="10">
      <c r="K10" s="125"/>
      <c r="L10" s="125"/>
      <c r="M10" s="125"/>
    </row>
    <row r="11">
      <c r="K11" s="125"/>
      <c r="L11" s="125"/>
      <c r="M11" s="125"/>
    </row>
    <row r="15">
      <c r="P15" s="486" t="s">
        <v>1140</v>
      </c>
      <c r="Q15" s="487"/>
      <c r="R15" s="124"/>
      <c r="S15" s="488"/>
      <c r="T15" s="489" t="s">
        <v>1141</v>
      </c>
      <c r="U15" s="490"/>
    </row>
    <row r="16">
      <c r="P16" s="491" t="s">
        <v>1143</v>
      </c>
      <c r="Q16" s="492" t="s">
        <v>1131</v>
      </c>
      <c r="R16" s="124"/>
      <c r="S16" s="124"/>
      <c r="T16" s="491" t="s">
        <v>1143</v>
      </c>
      <c r="U16" s="492" t="s">
        <v>1131</v>
      </c>
    </row>
    <row r="17">
      <c r="P17" s="278" t="s">
        <v>16</v>
      </c>
      <c r="Q17" s="493">
        <v>3299.0</v>
      </c>
      <c r="R17" s="125">
        <v>3299.0</v>
      </c>
      <c r="S17" s="125"/>
      <c r="T17" s="278" t="s">
        <v>1145</v>
      </c>
      <c r="U17" s="493">
        <v>12999.0</v>
      </c>
      <c r="V17" s="125">
        <v>12999.0</v>
      </c>
    </row>
    <row r="18">
      <c r="P18" s="278" t="s">
        <v>1146</v>
      </c>
      <c r="Q18" s="493">
        <v>710.0</v>
      </c>
      <c r="R18" s="125">
        <v>710.0</v>
      </c>
      <c r="S18" s="125"/>
      <c r="T18" s="278" t="s">
        <v>1147</v>
      </c>
      <c r="U18" s="493">
        <v>710.0</v>
      </c>
      <c r="V18" s="125">
        <v>710.0</v>
      </c>
    </row>
    <row r="19">
      <c r="P19" s="278" t="s">
        <v>1148</v>
      </c>
      <c r="Q19" s="493">
        <v>4390.38</v>
      </c>
      <c r="R19" s="494">
        <v>4390.38</v>
      </c>
      <c r="S19" s="125"/>
      <c r="T19" s="278" t="s">
        <v>1149</v>
      </c>
      <c r="U19" s="493">
        <v>878.0</v>
      </c>
      <c r="V19" s="125">
        <v>878.0</v>
      </c>
    </row>
    <row r="20">
      <c r="P20" s="278" t="s">
        <v>1149</v>
      </c>
      <c r="Q20" s="493">
        <v>0.0</v>
      </c>
      <c r="R20" s="125">
        <f>17.56*50</f>
        <v>878</v>
      </c>
      <c r="S20" s="125"/>
      <c r="T20" s="278" t="s">
        <v>1152</v>
      </c>
      <c r="U20" s="493">
        <v>0.0</v>
      </c>
      <c r="V20" s="125">
        <f>17.56*100</f>
        <v>1756</v>
      </c>
    </row>
    <row r="21">
      <c r="P21" s="278" t="s">
        <v>1154</v>
      </c>
      <c r="Q21" s="493">
        <v>6589.43</v>
      </c>
      <c r="R21" s="494">
        <v>6589.43</v>
      </c>
      <c r="S21" s="125"/>
      <c r="T21" s="278" t="s">
        <v>1155</v>
      </c>
      <c r="U21" s="493">
        <v>3690.4</v>
      </c>
      <c r="V21" s="125">
        <v>3690.4</v>
      </c>
    </row>
    <row r="22">
      <c r="P22" s="278" t="s">
        <v>1156</v>
      </c>
      <c r="Q22" s="493">
        <v>0.0</v>
      </c>
      <c r="R22" s="125">
        <f>26.36*50</f>
        <v>1318</v>
      </c>
      <c r="S22" s="125"/>
      <c r="T22" s="278" t="s">
        <v>1157</v>
      </c>
      <c r="U22" s="493">
        <v>0.0</v>
      </c>
      <c r="V22" s="125">
        <v>1977.0</v>
      </c>
    </row>
    <row r="23">
      <c r="P23" s="496" t="s">
        <v>1158</v>
      </c>
      <c r="Q23" s="497">
        <f t="shared" ref="Q23:R23" si="1">SUM(Q17:Q22)</f>
        <v>14988.81</v>
      </c>
      <c r="R23" s="499">
        <f t="shared" si="1"/>
        <v>17184.81</v>
      </c>
      <c r="S23" s="500"/>
      <c r="T23" s="501"/>
      <c r="U23" s="497">
        <f t="shared" ref="U23:V23" si="2">SUM(U17:U22)</f>
        <v>18277.4</v>
      </c>
      <c r="V23" s="502">
        <f t="shared" si="2"/>
        <v>22010.4</v>
      </c>
    </row>
    <row r="24">
      <c r="Q24" s="503">
        <f>1-(Q23/R23)</f>
        <v>0.1277872726</v>
      </c>
      <c r="U24" s="503">
        <f>1-(U23/V23)</f>
        <v>0.1696016429</v>
      </c>
    </row>
  </sheetData>
  <mergeCells count="6">
    <mergeCell ref="E4:G5"/>
    <mergeCell ref="H4:J5"/>
    <mergeCell ref="K4:M5"/>
    <mergeCell ref="E6:M6"/>
    <mergeCell ref="E7:G12"/>
    <mergeCell ref="H7:J1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6.25"/>
    <col customWidth="1" min="2" max="26" width="7.63"/>
  </cols>
  <sheetData>
    <row r="1">
      <c r="A1" s="506" t="s">
        <v>1163</v>
      </c>
    </row>
    <row r="2">
      <c r="A2" s="507" t="s">
        <v>1164</v>
      </c>
    </row>
    <row r="3">
      <c r="A3" s="508" t="s">
        <v>1165</v>
      </c>
    </row>
    <row r="4">
      <c r="A4" s="507" t="s">
        <v>1166</v>
      </c>
    </row>
    <row r="5">
      <c r="A5" s="507" t="s">
        <v>1167</v>
      </c>
    </row>
    <row r="6">
      <c r="A6" s="507" t="s">
        <v>1168</v>
      </c>
    </row>
    <row r="7">
      <c r="A7" s="507" t="s">
        <v>1169</v>
      </c>
    </row>
    <row r="8">
      <c r="A8" s="507" t="s">
        <v>1170</v>
      </c>
    </row>
    <row r="9">
      <c r="A9" s="507" t="s">
        <v>1171</v>
      </c>
    </row>
    <row r="10">
      <c r="A10" s="508" t="s">
        <v>1172</v>
      </c>
    </row>
    <row r="11">
      <c r="A11" s="507" t="s">
        <v>1173</v>
      </c>
    </row>
    <row r="12">
      <c r="A12" s="507" t="s">
        <v>1174</v>
      </c>
    </row>
    <row r="13">
      <c r="A13" s="507" t="s">
        <v>1175</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35.13"/>
    <col customWidth="1" min="3" max="3" width="42.0"/>
    <col customWidth="1" min="4" max="4" width="12.25"/>
    <col customWidth="1" min="5" max="5" width="24.5"/>
    <col customWidth="1" min="6" max="26" width="7.63"/>
  </cols>
  <sheetData>
    <row r="1">
      <c r="A1" s="511" t="s">
        <v>1176</v>
      </c>
      <c r="B1" s="512" t="s">
        <v>1177</v>
      </c>
      <c r="C1" s="511" t="s">
        <v>1178</v>
      </c>
      <c r="D1" s="511" t="s">
        <v>1179</v>
      </c>
      <c r="E1" s="511" t="s">
        <v>1180</v>
      </c>
    </row>
    <row r="2">
      <c r="A2" s="513" t="s">
        <v>6</v>
      </c>
      <c r="B2" s="514" t="s">
        <v>1181</v>
      </c>
      <c r="C2" s="515" t="str">
        <f t="shared" ref="C2:C201" si="1">POSSIBLE_COUNTRIES(B2,A2)</f>
        <v>Exact / high confidence: United Kingdom (+44)</v>
      </c>
      <c r="D2" s="515" t="str">
        <f t="shared" ref="D2:D201" si="2">IF(C2="","",IF(LEFT(C2,5)="Exact","High",IF(LEFT(C2,8)="Possible","Medium","Low")))</f>
        <v>High</v>
      </c>
      <c r="E2" s="515"/>
    </row>
    <row r="3">
      <c r="A3" s="513" t="s">
        <v>1183</v>
      </c>
      <c r="B3" s="516" t="s">
        <v>1184</v>
      </c>
      <c r="C3" s="515" t="str">
        <f t="shared" si="1"/>
        <v>Missing country code - needs manual confirmation</v>
      </c>
      <c r="D3" s="515" t="str">
        <f t="shared" si="2"/>
        <v>Low</v>
      </c>
      <c r="E3" s="515"/>
    </row>
    <row r="4">
      <c r="A4" s="513" t="s">
        <v>6</v>
      </c>
      <c r="B4" s="514" t="s">
        <v>1186</v>
      </c>
      <c r="C4" s="515" t="str">
        <f t="shared" si="1"/>
        <v>Possible: United Kingdom [Typical UK mobile local format] (Medium)</v>
      </c>
      <c r="D4" s="515" t="str">
        <f t="shared" si="2"/>
        <v>Medium</v>
      </c>
      <c r="E4" s="515" t="s">
        <v>1188</v>
      </c>
    </row>
    <row r="5">
      <c r="A5" s="513" t="s">
        <v>1183</v>
      </c>
      <c r="B5" s="514" t="s">
        <v>1190</v>
      </c>
      <c r="C5" s="515" t="str">
        <f t="shared" si="1"/>
        <v>Possible: Ecuador [Common Ecuador mobile local format] (Medium)</v>
      </c>
      <c r="D5" s="515" t="str">
        <f t="shared" si="2"/>
        <v>Medium</v>
      </c>
      <c r="E5" s="515" t="s">
        <v>1188</v>
      </c>
    </row>
    <row r="6">
      <c r="A6" s="513"/>
      <c r="B6" s="514"/>
      <c r="C6" s="515" t="str">
        <f t="shared" si="1"/>
        <v/>
      </c>
      <c r="D6" s="515" t="str">
        <f t="shared" si="2"/>
        <v/>
      </c>
      <c r="E6" s="515"/>
    </row>
    <row r="7">
      <c r="A7" s="513"/>
      <c r="B7" s="514"/>
      <c r="C7" s="515" t="str">
        <f t="shared" si="1"/>
        <v/>
      </c>
      <c r="D7" s="515" t="str">
        <f t="shared" si="2"/>
        <v/>
      </c>
      <c r="E7" s="515"/>
    </row>
    <row r="8">
      <c r="A8" s="513"/>
      <c r="B8" s="514"/>
      <c r="C8" s="515" t="str">
        <f t="shared" si="1"/>
        <v/>
      </c>
      <c r="D8" s="515" t="str">
        <f t="shared" si="2"/>
        <v/>
      </c>
      <c r="E8" s="515"/>
    </row>
    <row r="9">
      <c r="A9" s="513"/>
      <c r="B9" s="514"/>
      <c r="C9" s="515" t="str">
        <f t="shared" si="1"/>
        <v/>
      </c>
      <c r="D9" s="515" t="str">
        <f t="shared" si="2"/>
        <v/>
      </c>
      <c r="E9" s="515"/>
    </row>
    <row r="10">
      <c r="A10" s="513"/>
      <c r="B10" s="514"/>
      <c r="C10" s="515" t="str">
        <f t="shared" si="1"/>
        <v/>
      </c>
      <c r="D10" s="515" t="str">
        <f t="shared" si="2"/>
        <v/>
      </c>
      <c r="E10" s="515"/>
    </row>
    <row r="11">
      <c r="A11" s="513"/>
      <c r="B11" s="514"/>
      <c r="C11" s="515" t="str">
        <f t="shared" si="1"/>
        <v/>
      </c>
      <c r="D11" s="515" t="str">
        <f t="shared" si="2"/>
        <v/>
      </c>
      <c r="E11" s="515"/>
    </row>
    <row r="12">
      <c r="A12" s="513"/>
      <c r="B12" s="514"/>
      <c r="C12" s="515" t="str">
        <f t="shared" si="1"/>
        <v/>
      </c>
      <c r="D12" s="515" t="str">
        <f t="shared" si="2"/>
        <v/>
      </c>
      <c r="E12" s="515"/>
    </row>
    <row r="13">
      <c r="A13" s="513"/>
      <c r="B13" s="514"/>
      <c r="C13" s="515" t="str">
        <f t="shared" si="1"/>
        <v/>
      </c>
      <c r="D13" s="515" t="str">
        <f t="shared" si="2"/>
        <v/>
      </c>
      <c r="E13" s="515"/>
    </row>
    <row r="14">
      <c r="A14" s="513"/>
      <c r="B14" s="514"/>
      <c r="C14" s="515" t="str">
        <f t="shared" si="1"/>
        <v/>
      </c>
      <c r="D14" s="515" t="str">
        <f t="shared" si="2"/>
        <v/>
      </c>
      <c r="E14" s="515"/>
    </row>
    <row r="15">
      <c r="A15" s="513"/>
      <c r="B15" s="514"/>
      <c r="C15" s="515" t="str">
        <f t="shared" si="1"/>
        <v/>
      </c>
      <c r="D15" s="515" t="str">
        <f t="shared" si="2"/>
        <v/>
      </c>
      <c r="E15" s="515"/>
    </row>
    <row r="16">
      <c r="A16" s="513"/>
      <c r="B16" s="514"/>
      <c r="C16" s="515" t="str">
        <f t="shared" si="1"/>
        <v/>
      </c>
      <c r="D16" s="515" t="str">
        <f t="shared" si="2"/>
        <v/>
      </c>
      <c r="E16" s="515"/>
    </row>
    <row r="17">
      <c r="A17" s="513"/>
      <c r="B17" s="514"/>
      <c r="C17" s="515" t="str">
        <f t="shared" si="1"/>
        <v/>
      </c>
      <c r="D17" s="515" t="str">
        <f t="shared" si="2"/>
        <v/>
      </c>
      <c r="E17" s="515"/>
    </row>
    <row r="18">
      <c r="A18" s="513"/>
      <c r="B18" s="514"/>
      <c r="C18" s="515" t="str">
        <f t="shared" si="1"/>
        <v/>
      </c>
      <c r="D18" s="515" t="str">
        <f t="shared" si="2"/>
        <v/>
      </c>
      <c r="E18" s="515"/>
    </row>
    <row r="19">
      <c r="A19" s="513"/>
      <c r="B19" s="514"/>
      <c r="C19" s="515" t="str">
        <f t="shared" si="1"/>
        <v/>
      </c>
      <c r="D19" s="515" t="str">
        <f t="shared" si="2"/>
        <v/>
      </c>
      <c r="E19" s="515"/>
    </row>
    <row r="20">
      <c r="A20" s="513"/>
      <c r="B20" s="514"/>
      <c r="C20" s="515" t="str">
        <f t="shared" si="1"/>
        <v/>
      </c>
      <c r="D20" s="515" t="str">
        <f t="shared" si="2"/>
        <v/>
      </c>
      <c r="E20" s="515"/>
    </row>
    <row r="21">
      <c r="A21" s="513"/>
      <c r="B21" s="514"/>
      <c r="C21" s="515" t="str">
        <f t="shared" si="1"/>
        <v/>
      </c>
      <c r="D21" s="515" t="str">
        <f t="shared" si="2"/>
        <v/>
      </c>
      <c r="E21" s="515"/>
    </row>
    <row r="22">
      <c r="A22" s="513"/>
      <c r="B22" s="514"/>
      <c r="C22" s="515" t="str">
        <f t="shared" si="1"/>
        <v/>
      </c>
      <c r="D22" s="515" t="str">
        <f t="shared" si="2"/>
        <v/>
      </c>
      <c r="E22" s="515"/>
    </row>
    <row r="23">
      <c r="A23" s="513"/>
      <c r="B23" s="514"/>
      <c r="C23" s="515" t="str">
        <f t="shared" si="1"/>
        <v/>
      </c>
      <c r="D23" s="515" t="str">
        <f t="shared" si="2"/>
        <v/>
      </c>
      <c r="E23" s="515"/>
    </row>
    <row r="24">
      <c r="A24" s="513"/>
      <c r="B24" s="514"/>
      <c r="C24" s="515" t="str">
        <f t="shared" si="1"/>
        <v/>
      </c>
      <c r="D24" s="515" t="str">
        <f t="shared" si="2"/>
        <v/>
      </c>
      <c r="E24" s="515"/>
    </row>
    <row r="25">
      <c r="A25" s="513"/>
      <c r="B25" s="514"/>
      <c r="C25" s="515" t="str">
        <f t="shared" si="1"/>
        <v/>
      </c>
      <c r="D25" s="515" t="str">
        <f t="shared" si="2"/>
        <v/>
      </c>
      <c r="E25" s="515"/>
    </row>
    <row r="26">
      <c r="A26" s="513"/>
      <c r="B26" s="514"/>
      <c r="C26" s="515" t="str">
        <f t="shared" si="1"/>
        <v/>
      </c>
      <c r="D26" s="515" t="str">
        <f t="shared" si="2"/>
        <v/>
      </c>
      <c r="E26" s="515"/>
    </row>
    <row r="27">
      <c r="A27" s="513"/>
      <c r="B27" s="514"/>
      <c r="C27" s="515" t="str">
        <f t="shared" si="1"/>
        <v/>
      </c>
      <c r="D27" s="515" t="str">
        <f t="shared" si="2"/>
        <v/>
      </c>
      <c r="E27" s="515"/>
    </row>
    <row r="28">
      <c r="A28" s="513"/>
      <c r="B28" s="514"/>
      <c r="C28" s="515" t="str">
        <f t="shared" si="1"/>
        <v/>
      </c>
      <c r="D28" s="515" t="str">
        <f t="shared" si="2"/>
        <v/>
      </c>
      <c r="E28" s="515"/>
    </row>
    <row r="29">
      <c r="A29" s="513"/>
      <c r="B29" s="514"/>
      <c r="C29" s="515" t="str">
        <f t="shared" si="1"/>
        <v/>
      </c>
      <c r="D29" s="515" t="str">
        <f t="shared" si="2"/>
        <v/>
      </c>
      <c r="E29" s="515"/>
    </row>
    <row r="30">
      <c r="A30" s="513"/>
      <c r="B30" s="514"/>
      <c r="C30" s="515" t="str">
        <f t="shared" si="1"/>
        <v/>
      </c>
      <c r="D30" s="515" t="str">
        <f t="shared" si="2"/>
        <v/>
      </c>
      <c r="E30" s="515"/>
    </row>
    <row r="31">
      <c r="A31" s="513"/>
      <c r="B31" s="514"/>
      <c r="C31" s="515" t="str">
        <f t="shared" si="1"/>
        <v/>
      </c>
      <c r="D31" s="515" t="str">
        <f t="shared" si="2"/>
        <v/>
      </c>
      <c r="E31" s="515"/>
    </row>
    <row r="32">
      <c r="A32" s="513"/>
      <c r="B32" s="514"/>
      <c r="C32" s="515" t="str">
        <f t="shared" si="1"/>
        <v/>
      </c>
      <c r="D32" s="515" t="str">
        <f t="shared" si="2"/>
        <v/>
      </c>
      <c r="E32" s="515"/>
    </row>
    <row r="33">
      <c r="A33" s="513"/>
      <c r="B33" s="514"/>
      <c r="C33" s="515" t="str">
        <f t="shared" si="1"/>
        <v/>
      </c>
      <c r="D33" s="515" t="str">
        <f t="shared" si="2"/>
        <v/>
      </c>
      <c r="E33" s="515"/>
    </row>
    <row r="34">
      <c r="A34" s="513"/>
      <c r="B34" s="514"/>
      <c r="C34" s="515" t="str">
        <f t="shared" si="1"/>
        <v/>
      </c>
      <c r="D34" s="515" t="str">
        <f t="shared" si="2"/>
        <v/>
      </c>
      <c r="E34" s="515"/>
    </row>
    <row r="35">
      <c r="A35" s="513"/>
      <c r="B35" s="514"/>
      <c r="C35" s="515" t="str">
        <f t="shared" si="1"/>
        <v/>
      </c>
      <c r="D35" s="515" t="str">
        <f t="shared" si="2"/>
        <v/>
      </c>
      <c r="E35" s="515"/>
    </row>
    <row r="36">
      <c r="A36" s="513"/>
      <c r="B36" s="514"/>
      <c r="C36" s="515" t="str">
        <f t="shared" si="1"/>
        <v/>
      </c>
      <c r="D36" s="515" t="str">
        <f t="shared" si="2"/>
        <v/>
      </c>
      <c r="E36" s="515"/>
    </row>
    <row r="37">
      <c r="A37" s="513"/>
      <c r="B37" s="514"/>
      <c r="C37" s="515" t="str">
        <f t="shared" si="1"/>
        <v/>
      </c>
      <c r="D37" s="515" t="str">
        <f t="shared" si="2"/>
        <v/>
      </c>
      <c r="E37" s="515"/>
    </row>
    <row r="38">
      <c r="A38" s="513"/>
      <c r="B38" s="514"/>
      <c r="C38" s="515" t="str">
        <f t="shared" si="1"/>
        <v/>
      </c>
      <c r="D38" s="515" t="str">
        <f t="shared" si="2"/>
        <v/>
      </c>
      <c r="E38" s="515"/>
    </row>
    <row r="39">
      <c r="A39" s="513"/>
      <c r="B39" s="514"/>
      <c r="C39" s="515" t="str">
        <f t="shared" si="1"/>
        <v/>
      </c>
      <c r="D39" s="515" t="str">
        <f t="shared" si="2"/>
        <v/>
      </c>
      <c r="E39" s="515"/>
    </row>
    <row r="40">
      <c r="A40" s="513"/>
      <c r="B40" s="514"/>
      <c r="C40" s="515" t="str">
        <f t="shared" si="1"/>
        <v/>
      </c>
      <c r="D40" s="515" t="str">
        <f t="shared" si="2"/>
        <v/>
      </c>
      <c r="E40" s="515"/>
    </row>
    <row r="41">
      <c r="A41" s="513"/>
      <c r="B41" s="514"/>
      <c r="C41" s="515" t="str">
        <f t="shared" si="1"/>
        <v/>
      </c>
      <c r="D41" s="515" t="str">
        <f t="shared" si="2"/>
        <v/>
      </c>
      <c r="E41" s="515"/>
    </row>
    <row r="42">
      <c r="A42" s="513"/>
      <c r="B42" s="514"/>
      <c r="C42" s="515" t="str">
        <f t="shared" si="1"/>
        <v/>
      </c>
      <c r="D42" s="515" t="str">
        <f t="shared" si="2"/>
        <v/>
      </c>
      <c r="E42" s="515"/>
    </row>
    <row r="43">
      <c r="A43" s="513"/>
      <c r="B43" s="514"/>
      <c r="C43" s="515" t="str">
        <f t="shared" si="1"/>
        <v/>
      </c>
      <c r="D43" s="515" t="str">
        <f t="shared" si="2"/>
        <v/>
      </c>
      <c r="E43" s="515"/>
    </row>
    <row r="44">
      <c r="A44" s="513"/>
      <c r="B44" s="514"/>
      <c r="C44" s="515" t="str">
        <f t="shared" si="1"/>
        <v/>
      </c>
      <c r="D44" s="515" t="str">
        <f t="shared" si="2"/>
        <v/>
      </c>
      <c r="E44" s="515"/>
    </row>
    <row r="45">
      <c r="A45" s="513"/>
      <c r="B45" s="514"/>
      <c r="C45" s="515" t="str">
        <f t="shared" si="1"/>
        <v/>
      </c>
      <c r="D45" s="515" t="str">
        <f t="shared" si="2"/>
        <v/>
      </c>
      <c r="E45" s="515"/>
    </row>
    <row r="46">
      <c r="A46" s="513"/>
      <c r="B46" s="514"/>
      <c r="C46" s="515" t="str">
        <f t="shared" si="1"/>
        <v/>
      </c>
      <c r="D46" s="515" t="str">
        <f t="shared" si="2"/>
        <v/>
      </c>
      <c r="E46" s="515"/>
    </row>
    <row r="47">
      <c r="A47" s="513"/>
      <c r="B47" s="514"/>
      <c r="C47" s="515" t="str">
        <f t="shared" si="1"/>
        <v/>
      </c>
      <c r="D47" s="515" t="str">
        <f t="shared" si="2"/>
        <v/>
      </c>
      <c r="E47" s="515"/>
    </row>
    <row r="48">
      <c r="A48" s="513"/>
      <c r="B48" s="514"/>
      <c r="C48" s="515" t="str">
        <f t="shared" si="1"/>
        <v/>
      </c>
      <c r="D48" s="515" t="str">
        <f t="shared" si="2"/>
        <v/>
      </c>
      <c r="E48" s="515"/>
    </row>
    <row r="49">
      <c r="A49" s="513"/>
      <c r="B49" s="514"/>
      <c r="C49" s="515" t="str">
        <f t="shared" si="1"/>
        <v/>
      </c>
      <c r="D49" s="515" t="str">
        <f t="shared" si="2"/>
        <v/>
      </c>
      <c r="E49" s="515"/>
    </row>
    <row r="50">
      <c r="A50" s="513"/>
      <c r="B50" s="514"/>
      <c r="C50" s="515" t="str">
        <f t="shared" si="1"/>
        <v/>
      </c>
      <c r="D50" s="515" t="str">
        <f t="shared" si="2"/>
        <v/>
      </c>
      <c r="E50" s="515"/>
    </row>
    <row r="51">
      <c r="A51" s="513"/>
      <c r="B51" s="514"/>
      <c r="C51" s="515" t="str">
        <f t="shared" si="1"/>
        <v/>
      </c>
      <c r="D51" s="515" t="str">
        <f t="shared" si="2"/>
        <v/>
      </c>
      <c r="E51" s="515"/>
    </row>
    <row r="52">
      <c r="A52" s="513"/>
      <c r="B52" s="514"/>
      <c r="C52" s="515" t="str">
        <f t="shared" si="1"/>
        <v/>
      </c>
      <c r="D52" s="515" t="str">
        <f t="shared" si="2"/>
        <v/>
      </c>
      <c r="E52" s="515"/>
    </row>
    <row r="53">
      <c r="A53" s="513"/>
      <c r="B53" s="514"/>
      <c r="C53" s="515" t="str">
        <f t="shared" si="1"/>
        <v/>
      </c>
      <c r="D53" s="515" t="str">
        <f t="shared" si="2"/>
        <v/>
      </c>
      <c r="E53" s="515"/>
    </row>
    <row r="54">
      <c r="A54" s="513"/>
      <c r="B54" s="514"/>
      <c r="C54" s="515" t="str">
        <f t="shared" si="1"/>
        <v/>
      </c>
      <c r="D54" s="515" t="str">
        <f t="shared" si="2"/>
        <v/>
      </c>
      <c r="E54" s="515"/>
    </row>
    <row r="55">
      <c r="A55" s="513"/>
      <c r="B55" s="514"/>
      <c r="C55" s="515" t="str">
        <f t="shared" si="1"/>
        <v/>
      </c>
      <c r="D55" s="515" t="str">
        <f t="shared" si="2"/>
        <v/>
      </c>
      <c r="E55" s="515"/>
    </row>
    <row r="56">
      <c r="A56" s="513"/>
      <c r="B56" s="514"/>
      <c r="C56" s="515" t="str">
        <f t="shared" si="1"/>
        <v/>
      </c>
      <c r="D56" s="515" t="str">
        <f t="shared" si="2"/>
        <v/>
      </c>
      <c r="E56" s="515"/>
    </row>
    <row r="57">
      <c r="A57" s="513"/>
      <c r="B57" s="514"/>
      <c r="C57" s="515" t="str">
        <f t="shared" si="1"/>
        <v/>
      </c>
      <c r="D57" s="515" t="str">
        <f t="shared" si="2"/>
        <v/>
      </c>
      <c r="E57" s="515"/>
    </row>
    <row r="58">
      <c r="A58" s="513"/>
      <c r="B58" s="514"/>
      <c r="C58" s="515" t="str">
        <f t="shared" si="1"/>
        <v/>
      </c>
      <c r="D58" s="515" t="str">
        <f t="shared" si="2"/>
        <v/>
      </c>
      <c r="E58" s="515"/>
    </row>
    <row r="59">
      <c r="A59" s="513"/>
      <c r="B59" s="514"/>
      <c r="C59" s="515" t="str">
        <f t="shared" si="1"/>
        <v/>
      </c>
      <c r="D59" s="515" t="str">
        <f t="shared" si="2"/>
        <v/>
      </c>
      <c r="E59" s="515"/>
    </row>
    <row r="60">
      <c r="A60" s="513"/>
      <c r="B60" s="514"/>
      <c r="C60" s="515" t="str">
        <f t="shared" si="1"/>
        <v/>
      </c>
      <c r="D60" s="515" t="str">
        <f t="shared" si="2"/>
        <v/>
      </c>
      <c r="E60" s="515"/>
    </row>
    <row r="61">
      <c r="A61" s="513"/>
      <c r="B61" s="514"/>
      <c r="C61" s="515" t="str">
        <f t="shared" si="1"/>
        <v/>
      </c>
      <c r="D61" s="515" t="str">
        <f t="shared" si="2"/>
        <v/>
      </c>
      <c r="E61" s="515"/>
    </row>
    <row r="62">
      <c r="A62" s="513"/>
      <c r="B62" s="514"/>
      <c r="C62" s="515" t="str">
        <f t="shared" si="1"/>
        <v/>
      </c>
      <c r="D62" s="515" t="str">
        <f t="shared" si="2"/>
        <v/>
      </c>
      <c r="E62" s="515"/>
    </row>
    <row r="63">
      <c r="A63" s="513"/>
      <c r="B63" s="514"/>
      <c r="C63" s="515" t="str">
        <f t="shared" si="1"/>
        <v/>
      </c>
      <c r="D63" s="515" t="str">
        <f t="shared" si="2"/>
        <v/>
      </c>
      <c r="E63" s="515"/>
    </row>
    <row r="64">
      <c r="A64" s="513"/>
      <c r="B64" s="514"/>
      <c r="C64" s="515" t="str">
        <f t="shared" si="1"/>
        <v/>
      </c>
      <c r="D64" s="515" t="str">
        <f t="shared" si="2"/>
        <v/>
      </c>
      <c r="E64" s="515"/>
    </row>
    <row r="65">
      <c r="A65" s="513"/>
      <c r="B65" s="514"/>
      <c r="C65" s="515" t="str">
        <f t="shared" si="1"/>
        <v/>
      </c>
      <c r="D65" s="515" t="str">
        <f t="shared" si="2"/>
        <v/>
      </c>
      <c r="E65" s="515"/>
    </row>
    <row r="66">
      <c r="A66" s="513"/>
      <c r="B66" s="514"/>
      <c r="C66" s="515" t="str">
        <f t="shared" si="1"/>
        <v/>
      </c>
      <c r="D66" s="515" t="str">
        <f t="shared" si="2"/>
        <v/>
      </c>
      <c r="E66" s="515"/>
    </row>
    <row r="67">
      <c r="A67" s="513"/>
      <c r="B67" s="514"/>
      <c r="C67" s="515" t="str">
        <f t="shared" si="1"/>
        <v/>
      </c>
      <c r="D67" s="515" t="str">
        <f t="shared" si="2"/>
        <v/>
      </c>
      <c r="E67" s="515"/>
    </row>
    <row r="68">
      <c r="A68" s="513"/>
      <c r="B68" s="514"/>
      <c r="C68" s="515" t="str">
        <f t="shared" si="1"/>
        <v/>
      </c>
      <c r="D68" s="515" t="str">
        <f t="shared" si="2"/>
        <v/>
      </c>
      <c r="E68" s="515"/>
    </row>
    <row r="69">
      <c r="A69" s="513"/>
      <c r="B69" s="514"/>
      <c r="C69" s="515" t="str">
        <f t="shared" si="1"/>
        <v/>
      </c>
      <c r="D69" s="515" t="str">
        <f t="shared" si="2"/>
        <v/>
      </c>
      <c r="E69" s="515"/>
    </row>
    <row r="70">
      <c r="A70" s="513"/>
      <c r="B70" s="514"/>
      <c r="C70" s="515" t="str">
        <f t="shared" si="1"/>
        <v/>
      </c>
      <c r="D70" s="515" t="str">
        <f t="shared" si="2"/>
        <v/>
      </c>
      <c r="E70" s="515"/>
    </row>
    <row r="71">
      <c r="A71" s="513"/>
      <c r="B71" s="514"/>
      <c r="C71" s="515" t="str">
        <f t="shared" si="1"/>
        <v/>
      </c>
      <c r="D71" s="515" t="str">
        <f t="shared" si="2"/>
        <v/>
      </c>
      <c r="E71" s="515"/>
    </row>
    <row r="72">
      <c r="A72" s="513"/>
      <c r="B72" s="514"/>
      <c r="C72" s="515" t="str">
        <f t="shared" si="1"/>
        <v/>
      </c>
      <c r="D72" s="515" t="str">
        <f t="shared" si="2"/>
        <v/>
      </c>
      <c r="E72" s="515"/>
    </row>
    <row r="73">
      <c r="A73" s="513"/>
      <c r="B73" s="514"/>
      <c r="C73" s="515" t="str">
        <f t="shared" si="1"/>
        <v/>
      </c>
      <c r="D73" s="515" t="str">
        <f t="shared" si="2"/>
        <v/>
      </c>
      <c r="E73" s="515"/>
    </row>
    <row r="74">
      <c r="A74" s="513"/>
      <c r="B74" s="514"/>
      <c r="C74" s="515" t="str">
        <f t="shared" si="1"/>
        <v/>
      </c>
      <c r="D74" s="515" t="str">
        <f t="shared" si="2"/>
        <v/>
      </c>
      <c r="E74" s="515"/>
    </row>
    <row r="75">
      <c r="A75" s="513"/>
      <c r="B75" s="514"/>
      <c r="C75" s="515" t="str">
        <f t="shared" si="1"/>
        <v/>
      </c>
      <c r="D75" s="515" t="str">
        <f t="shared" si="2"/>
        <v/>
      </c>
      <c r="E75" s="515"/>
    </row>
    <row r="76">
      <c r="A76" s="513"/>
      <c r="B76" s="514"/>
      <c r="C76" s="515" t="str">
        <f t="shared" si="1"/>
        <v/>
      </c>
      <c r="D76" s="515" t="str">
        <f t="shared" si="2"/>
        <v/>
      </c>
      <c r="E76" s="515"/>
    </row>
    <row r="77">
      <c r="A77" s="513"/>
      <c r="B77" s="514"/>
      <c r="C77" s="515" t="str">
        <f t="shared" si="1"/>
        <v/>
      </c>
      <c r="D77" s="515" t="str">
        <f t="shared" si="2"/>
        <v/>
      </c>
      <c r="E77" s="515"/>
    </row>
    <row r="78">
      <c r="A78" s="513"/>
      <c r="B78" s="514"/>
      <c r="C78" s="515" t="str">
        <f t="shared" si="1"/>
        <v/>
      </c>
      <c r="D78" s="515" t="str">
        <f t="shared" si="2"/>
        <v/>
      </c>
      <c r="E78" s="515"/>
    </row>
    <row r="79">
      <c r="A79" s="513"/>
      <c r="B79" s="514"/>
      <c r="C79" s="515" t="str">
        <f t="shared" si="1"/>
        <v/>
      </c>
      <c r="D79" s="515" t="str">
        <f t="shared" si="2"/>
        <v/>
      </c>
      <c r="E79" s="515"/>
    </row>
    <row r="80">
      <c r="A80" s="513"/>
      <c r="B80" s="514"/>
      <c r="C80" s="515" t="str">
        <f t="shared" si="1"/>
        <v/>
      </c>
      <c r="D80" s="515" t="str">
        <f t="shared" si="2"/>
        <v/>
      </c>
      <c r="E80" s="515"/>
    </row>
    <row r="81">
      <c r="A81" s="513"/>
      <c r="B81" s="514"/>
      <c r="C81" s="515" t="str">
        <f t="shared" si="1"/>
        <v/>
      </c>
      <c r="D81" s="515" t="str">
        <f t="shared" si="2"/>
        <v/>
      </c>
      <c r="E81" s="515"/>
    </row>
    <row r="82">
      <c r="A82" s="513"/>
      <c r="B82" s="514"/>
      <c r="C82" s="515" t="str">
        <f t="shared" si="1"/>
        <v/>
      </c>
      <c r="D82" s="515" t="str">
        <f t="shared" si="2"/>
        <v/>
      </c>
      <c r="E82" s="515"/>
    </row>
    <row r="83">
      <c r="A83" s="513"/>
      <c r="B83" s="514"/>
      <c r="C83" s="515" t="str">
        <f t="shared" si="1"/>
        <v/>
      </c>
      <c r="D83" s="515" t="str">
        <f t="shared" si="2"/>
        <v/>
      </c>
      <c r="E83" s="515"/>
    </row>
    <row r="84">
      <c r="A84" s="513"/>
      <c r="B84" s="514"/>
      <c r="C84" s="515" t="str">
        <f t="shared" si="1"/>
        <v/>
      </c>
      <c r="D84" s="515" t="str">
        <f t="shared" si="2"/>
        <v/>
      </c>
      <c r="E84" s="515"/>
    </row>
    <row r="85">
      <c r="A85" s="513"/>
      <c r="B85" s="514"/>
      <c r="C85" s="515" t="str">
        <f t="shared" si="1"/>
        <v/>
      </c>
      <c r="D85" s="515" t="str">
        <f t="shared" si="2"/>
        <v/>
      </c>
      <c r="E85" s="515"/>
    </row>
    <row r="86">
      <c r="A86" s="513"/>
      <c r="B86" s="514"/>
      <c r="C86" s="515" t="str">
        <f t="shared" si="1"/>
        <v/>
      </c>
      <c r="D86" s="515" t="str">
        <f t="shared" si="2"/>
        <v/>
      </c>
      <c r="E86" s="515"/>
    </row>
    <row r="87">
      <c r="A87" s="513"/>
      <c r="B87" s="514"/>
      <c r="C87" s="515" t="str">
        <f t="shared" si="1"/>
        <v/>
      </c>
      <c r="D87" s="515" t="str">
        <f t="shared" si="2"/>
        <v/>
      </c>
      <c r="E87" s="515"/>
    </row>
    <row r="88">
      <c r="A88" s="513"/>
      <c r="B88" s="514"/>
      <c r="C88" s="515" t="str">
        <f t="shared" si="1"/>
        <v/>
      </c>
      <c r="D88" s="515" t="str">
        <f t="shared" si="2"/>
        <v/>
      </c>
      <c r="E88" s="515"/>
    </row>
    <row r="89">
      <c r="A89" s="513"/>
      <c r="B89" s="514"/>
      <c r="C89" s="515" t="str">
        <f t="shared" si="1"/>
        <v/>
      </c>
      <c r="D89" s="515" t="str">
        <f t="shared" si="2"/>
        <v/>
      </c>
      <c r="E89" s="515"/>
    </row>
    <row r="90">
      <c r="A90" s="513"/>
      <c r="B90" s="514"/>
      <c r="C90" s="515" t="str">
        <f t="shared" si="1"/>
        <v/>
      </c>
      <c r="D90" s="515" t="str">
        <f t="shared" si="2"/>
        <v/>
      </c>
      <c r="E90" s="515"/>
    </row>
    <row r="91">
      <c r="A91" s="513"/>
      <c r="B91" s="514"/>
      <c r="C91" s="515" t="str">
        <f t="shared" si="1"/>
        <v/>
      </c>
      <c r="D91" s="515" t="str">
        <f t="shared" si="2"/>
        <v/>
      </c>
      <c r="E91" s="515"/>
    </row>
    <row r="92">
      <c r="A92" s="513"/>
      <c r="B92" s="514"/>
      <c r="C92" s="515" t="str">
        <f t="shared" si="1"/>
        <v/>
      </c>
      <c r="D92" s="515" t="str">
        <f t="shared" si="2"/>
        <v/>
      </c>
      <c r="E92" s="515"/>
    </row>
    <row r="93">
      <c r="A93" s="513"/>
      <c r="B93" s="514"/>
      <c r="C93" s="515" t="str">
        <f t="shared" si="1"/>
        <v/>
      </c>
      <c r="D93" s="515" t="str">
        <f t="shared" si="2"/>
        <v/>
      </c>
      <c r="E93" s="515"/>
    </row>
    <row r="94">
      <c r="A94" s="513"/>
      <c r="B94" s="514"/>
      <c r="C94" s="515" t="str">
        <f t="shared" si="1"/>
        <v/>
      </c>
      <c r="D94" s="515" t="str">
        <f t="shared" si="2"/>
        <v/>
      </c>
      <c r="E94" s="515"/>
    </row>
    <row r="95">
      <c r="A95" s="513"/>
      <c r="B95" s="514"/>
      <c r="C95" s="515" t="str">
        <f t="shared" si="1"/>
        <v/>
      </c>
      <c r="D95" s="515" t="str">
        <f t="shared" si="2"/>
        <v/>
      </c>
      <c r="E95" s="515"/>
    </row>
    <row r="96">
      <c r="A96" s="513"/>
      <c r="B96" s="514"/>
      <c r="C96" s="515" t="str">
        <f t="shared" si="1"/>
        <v/>
      </c>
      <c r="D96" s="515" t="str">
        <f t="shared" si="2"/>
        <v/>
      </c>
      <c r="E96" s="515"/>
    </row>
    <row r="97">
      <c r="A97" s="513"/>
      <c r="B97" s="514"/>
      <c r="C97" s="515" t="str">
        <f t="shared" si="1"/>
        <v/>
      </c>
      <c r="D97" s="515" t="str">
        <f t="shared" si="2"/>
        <v/>
      </c>
      <c r="E97" s="515"/>
    </row>
    <row r="98">
      <c r="A98" s="513"/>
      <c r="B98" s="514"/>
      <c r="C98" s="515" t="str">
        <f t="shared" si="1"/>
        <v/>
      </c>
      <c r="D98" s="515" t="str">
        <f t="shared" si="2"/>
        <v/>
      </c>
      <c r="E98" s="515"/>
    </row>
    <row r="99">
      <c r="A99" s="513"/>
      <c r="B99" s="514"/>
      <c r="C99" s="515" t="str">
        <f t="shared" si="1"/>
        <v/>
      </c>
      <c r="D99" s="515" t="str">
        <f t="shared" si="2"/>
        <v/>
      </c>
      <c r="E99" s="515"/>
    </row>
    <row r="100">
      <c r="A100" s="513"/>
      <c r="B100" s="514"/>
      <c r="C100" s="515" t="str">
        <f t="shared" si="1"/>
        <v/>
      </c>
      <c r="D100" s="515" t="str">
        <f t="shared" si="2"/>
        <v/>
      </c>
      <c r="E100" s="515"/>
    </row>
    <row r="101">
      <c r="A101" s="513"/>
      <c r="B101" s="514"/>
      <c r="C101" s="515" t="str">
        <f t="shared" si="1"/>
        <v/>
      </c>
      <c r="D101" s="515" t="str">
        <f t="shared" si="2"/>
        <v/>
      </c>
      <c r="E101" s="515"/>
    </row>
    <row r="102">
      <c r="A102" s="513"/>
      <c r="B102" s="514"/>
      <c r="C102" s="515" t="str">
        <f t="shared" si="1"/>
        <v/>
      </c>
      <c r="D102" s="515" t="str">
        <f t="shared" si="2"/>
        <v/>
      </c>
      <c r="E102" s="515"/>
    </row>
    <row r="103">
      <c r="A103" s="513"/>
      <c r="B103" s="514"/>
      <c r="C103" s="515" t="str">
        <f t="shared" si="1"/>
        <v/>
      </c>
      <c r="D103" s="515" t="str">
        <f t="shared" si="2"/>
        <v/>
      </c>
      <c r="E103" s="515"/>
    </row>
    <row r="104">
      <c r="A104" s="513"/>
      <c r="B104" s="514"/>
      <c r="C104" s="515" t="str">
        <f t="shared" si="1"/>
        <v/>
      </c>
      <c r="D104" s="515" t="str">
        <f t="shared" si="2"/>
        <v/>
      </c>
      <c r="E104" s="515"/>
    </row>
    <row r="105">
      <c r="A105" s="513"/>
      <c r="B105" s="514"/>
      <c r="C105" s="515" t="str">
        <f t="shared" si="1"/>
        <v/>
      </c>
      <c r="D105" s="515" t="str">
        <f t="shared" si="2"/>
        <v/>
      </c>
      <c r="E105" s="515"/>
    </row>
    <row r="106">
      <c r="A106" s="513"/>
      <c r="B106" s="514"/>
      <c r="C106" s="515" t="str">
        <f t="shared" si="1"/>
        <v/>
      </c>
      <c r="D106" s="515" t="str">
        <f t="shared" si="2"/>
        <v/>
      </c>
      <c r="E106" s="515"/>
    </row>
    <row r="107">
      <c r="A107" s="513"/>
      <c r="B107" s="514"/>
      <c r="C107" s="515" t="str">
        <f t="shared" si="1"/>
        <v/>
      </c>
      <c r="D107" s="515" t="str">
        <f t="shared" si="2"/>
        <v/>
      </c>
      <c r="E107" s="515"/>
    </row>
    <row r="108">
      <c r="A108" s="513"/>
      <c r="B108" s="514"/>
      <c r="C108" s="515" t="str">
        <f t="shared" si="1"/>
        <v/>
      </c>
      <c r="D108" s="515" t="str">
        <f t="shared" si="2"/>
        <v/>
      </c>
      <c r="E108" s="515"/>
    </row>
    <row r="109">
      <c r="A109" s="513"/>
      <c r="B109" s="514"/>
      <c r="C109" s="515" t="str">
        <f t="shared" si="1"/>
        <v/>
      </c>
      <c r="D109" s="515" t="str">
        <f t="shared" si="2"/>
        <v/>
      </c>
      <c r="E109" s="515"/>
    </row>
    <row r="110">
      <c r="A110" s="513"/>
      <c r="B110" s="514"/>
      <c r="C110" s="515" t="str">
        <f t="shared" si="1"/>
        <v/>
      </c>
      <c r="D110" s="515" t="str">
        <f t="shared" si="2"/>
        <v/>
      </c>
      <c r="E110" s="515"/>
    </row>
    <row r="111">
      <c r="A111" s="513"/>
      <c r="B111" s="514"/>
      <c r="C111" s="515" t="str">
        <f t="shared" si="1"/>
        <v/>
      </c>
      <c r="D111" s="515" t="str">
        <f t="shared" si="2"/>
        <v/>
      </c>
      <c r="E111" s="515"/>
    </row>
    <row r="112">
      <c r="A112" s="513"/>
      <c r="B112" s="514"/>
      <c r="C112" s="515" t="str">
        <f t="shared" si="1"/>
        <v/>
      </c>
      <c r="D112" s="515" t="str">
        <f t="shared" si="2"/>
        <v/>
      </c>
      <c r="E112" s="515"/>
    </row>
    <row r="113">
      <c r="A113" s="513"/>
      <c r="B113" s="514"/>
      <c r="C113" s="515" t="str">
        <f t="shared" si="1"/>
        <v/>
      </c>
      <c r="D113" s="515" t="str">
        <f t="shared" si="2"/>
        <v/>
      </c>
      <c r="E113" s="515"/>
    </row>
    <row r="114">
      <c r="A114" s="513"/>
      <c r="B114" s="514"/>
      <c r="C114" s="515" t="str">
        <f t="shared" si="1"/>
        <v/>
      </c>
      <c r="D114" s="515" t="str">
        <f t="shared" si="2"/>
        <v/>
      </c>
      <c r="E114" s="515"/>
    </row>
    <row r="115">
      <c r="A115" s="513"/>
      <c r="B115" s="514"/>
      <c r="C115" s="515" t="str">
        <f t="shared" si="1"/>
        <v/>
      </c>
      <c r="D115" s="515" t="str">
        <f t="shared" si="2"/>
        <v/>
      </c>
      <c r="E115" s="515"/>
    </row>
    <row r="116">
      <c r="A116" s="513"/>
      <c r="B116" s="514"/>
      <c r="C116" s="515" t="str">
        <f t="shared" si="1"/>
        <v/>
      </c>
      <c r="D116" s="515" t="str">
        <f t="shared" si="2"/>
        <v/>
      </c>
      <c r="E116" s="515"/>
    </row>
    <row r="117">
      <c r="A117" s="513"/>
      <c r="B117" s="514"/>
      <c r="C117" s="515" t="str">
        <f t="shared" si="1"/>
        <v/>
      </c>
      <c r="D117" s="515" t="str">
        <f t="shared" si="2"/>
        <v/>
      </c>
      <c r="E117" s="515"/>
    </row>
    <row r="118">
      <c r="A118" s="513"/>
      <c r="B118" s="514"/>
      <c r="C118" s="515" t="str">
        <f t="shared" si="1"/>
        <v/>
      </c>
      <c r="D118" s="515" t="str">
        <f t="shared" si="2"/>
        <v/>
      </c>
      <c r="E118" s="515"/>
    </row>
    <row r="119">
      <c r="A119" s="513"/>
      <c r="B119" s="514"/>
      <c r="C119" s="515" t="str">
        <f t="shared" si="1"/>
        <v/>
      </c>
      <c r="D119" s="515" t="str">
        <f t="shared" si="2"/>
        <v/>
      </c>
      <c r="E119" s="515"/>
    </row>
    <row r="120">
      <c r="A120" s="513"/>
      <c r="B120" s="514"/>
      <c r="C120" s="515" t="str">
        <f t="shared" si="1"/>
        <v/>
      </c>
      <c r="D120" s="515" t="str">
        <f t="shared" si="2"/>
        <v/>
      </c>
      <c r="E120" s="515"/>
    </row>
    <row r="121">
      <c r="A121" s="513"/>
      <c r="B121" s="514"/>
      <c r="C121" s="515" t="str">
        <f t="shared" si="1"/>
        <v/>
      </c>
      <c r="D121" s="515" t="str">
        <f t="shared" si="2"/>
        <v/>
      </c>
      <c r="E121" s="515"/>
    </row>
    <row r="122">
      <c r="A122" s="513"/>
      <c r="B122" s="514"/>
      <c r="C122" s="515" t="str">
        <f t="shared" si="1"/>
        <v/>
      </c>
      <c r="D122" s="515" t="str">
        <f t="shared" si="2"/>
        <v/>
      </c>
      <c r="E122" s="515"/>
    </row>
    <row r="123">
      <c r="A123" s="513"/>
      <c r="B123" s="514"/>
      <c r="C123" s="515" t="str">
        <f t="shared" si="1"/>
        <v/>
      </c>
      <c r="D123" s="515" t="str">
        <f t="shared" si="2"/>
        <v/>
      </c>
      <c r="E123" s="515"/>
    </row>
    <row r="124">
      <c r="A124" s="513"/>
      <c r="B124" s="514"/>
      <c r="C124" s="515" t="str">
        <f t="shared" si="1"/>
        <v/>
      </c>
      <c r="D124" s="515" t="str">
        <f t="shared" si="2"/>
        <v/>
      </c>
      <c r="E124" s="515"/>
    </row>
    <row r="125">
      <c r="A125" s="513"/>
      <c r="B125" s="514"/>
      <c r="C125" s="515" t="str">
        <f t="shared" si="1"/>
        <v/>
      </c>
      <c r="D125" s="515" t="str">
        <f t="shared" si="2"/>
        <v/>
      </c>
      <c r="E125" s="515"/>
    </row>
    <row r="126">
      <c r="A126" s="513"/>
      <c r="B126" s="514"/>
      <c r="C126" s="515" t="str">
        <f t="shared" si="1"/>
        <v/>
      </c>
      <c r="D126" s="515" t="str">
        <f t="shared" si="2"/>
        <v/>
      </c>
      <c r="E126" s="515"/>
    </row>
    <row r="127">
      <c r="A127" s="513"/>
      <c r="B127" s="514"/>
      <c r="C127" s="515" t="str">
        <f t="shared" si="1"/>
        <v/>
      </c>
      <c r="D127" s="515" t="str">
        <f t="shared" si="2"/>
        <v/>
      </c>
      <c r="E127" s="515"/>
    </row>
    <row r="128">
      <c r="A128" s="513"/>
      <c r="B128" s="514"/>
      <c r="C128" s="515" t="str">
        <f t="shared" si="1"/>
        <v/>
      </c>
      <c r="D128" s="515" t="str">
        <f t="shared" si="2"/>
        <v/>
      </c>
      <c r="E128" s="515"/>
    </row>
    <row r="129">
      <c r="A129" s="513"/>
      <c r="B129" s="514"/>
      <c r="C129" s="515" t="str">
        <f t="shared" si="1"/>
        <v/>
      </c>
      <c r="D129" s="515" t="str">
        <f t="shared" si="2"/>
        <v/>
      </c>
      <c r="E129" s="515"/>
    </row>
    <row r="130">
      <c r="A130" s="513"/>
      <c r="B130" s="514"/>
      <c r="C130" s="515" t="str">
        <f t="shared" si="1"/>
        <v/>
      </c>
      <c r="D130" s="515" t="str">
        <f t="shared" si="2"/>
        <v/>
      </c>
      <c r="E130" s="515"/>
    </row>
    <row r="131">
      <c r="A131" s="513"/>
      <c r="B131" s="514"/>
      <c r="C131" s="515" t="str">
        <f t="shared" si="1"/>
        <v/>
      </c>
      <c r="D131" s="515" t="str">
        <f t="shared" si="2"/>
        <v/>
      </c>
      <c r="E131" s="515"/>
    </row>
    <row r="132">
      <c r="A132" s="513"/>
      <c r="B132" s="514"/>
      <c r="C132" s="515" t="str">
        <f t="shared" si="1"/>
        <v/>
      </c>
      <c r="D132" s="515" t="str">
        <f t="shared" si="2"/>
        <v/>
      </c>
      <c r="E132" s="515"/>
    </row>
    <row r="133">
      <c r="A133" s="513"/>
      <c r="B133" s="514"/>
      <c r="C133" s="515" t="str">
        <f t="shared" si="1"/>
        <v/>
      </c>
      <c r="D133" s="515" t="str">
        <f t="shared" si="2"/>
        <v/>
      </c>
      <c r="E133" s="515"/>
    </row>
    <row r="134">
      <c r="A134" s="513"/>
      <c r="B134" s="514"/>
      <c r="C134" s="515" t="str">
        <f t="shared" si="1"/>
        <v/>
      </c>
      <c r="D134" s="515" t="str">
        <f t="shared" si="2"/>
        <v/>
      </c>
      <c r="E134" s="515"/>
    </row>
    <row r="135">
      <c r="A135" s="513"/>
      <c r="B135" s="514"/>
      <c r="C135" s="515" t="str">
        <f t="shared" si="1"/>
        <v/>
      </c>
      <c r="D135" s="515" t="str">
        <f t="shared" si="2"/>
        <v/>
      </c>
      <c r="E135" s="515"/>
    </row>
    <row r="136">
      <c r="A136" s="513"/>
      <c r="B136" s="514"/>
      <c r="C136" s="515" t="str">
        <f t="shared" si="1"/>
        <v/>
      </c>
      <c r="D136" s="515" t="str">
        <f t="shared" si="2"/>
        <v/>
      </c>
      <c r="E136" s="515"/>
    </row>
    <row r="137">
      <c r="A137" s="513"/>
      <c r="B137" s="514"/>
      <c r="C137" s="515" t="str">
        <f t="shared" si="1"/>
        <v/>
      </c>
      <c r="D137" s="515" t="str">
        <f t="shared" si="2"/>
        <v/>
      </c>
      <c r="E137" s="515"/>
    </row>
    <row r="138">
      <c r="A138" s="513"/>
      <c r="B138" s="514"/>
      <c r="C138" s="515" t="str">
        <f t="shared" si="1"/>
        <v/>
      </c>
      <c r="D138" s="515" t="str">
        <f t="shared" si="2"/>
        <v/>
      </c>
      <c r="E138" s="515"/>
    </row>
    <row r="139">
      <c r="A139" s="513"/>
      <c r="B139" s="514"/>
      <c r="C139" s="515" t="str">
        <f t="shared" si="1"/>
        <v/>
      </c>
      <c r="D139" s="515" t="str">
        <f t="shared" si="2"/>
        <v/>
      </c>
      <c r="E139" s="515"/>
    </row>
    <row r="140">
      <c r="A140" s="513"/>
      <c r="B140" s="514"/>
      <c r="C140" s="515" t="str">
        <f t="shared" si="1"/>
        <v/>
      </c>
      <c r="D140" s="515" t="str">
        <f t="shared" si="2"/>
        <v/>
      </c>
      <c r="E140" s="515"/>
    </row>
    <row r="141">
      <c r="A141" s="513"/>
      <c r="B141" s="514"/>
      <c r="C141" s="515" t="str">
        <f t="shared" si="1"/>
        <v/>
      </c>
      <c r="D141" s="515" t="str">
        <f t="shared" si="2"/>
        <v/>
      </c>
      <c r="E141" s="515"/>
    </row>
    <row r="142">
      <c r="A142" s="513"/>
      <c r="B142" s="514"/>
      <c r="C142" s="515" t="str">
        <f t="shared" si="1"/>
        <v/>
      </c>
      <c r="D142" s="515" t="str">
        <f t="shared" si="2"/>
        <v/>
      </c>
      <c r="E142" s="515"/>
    </row>
    <row r="143">
      <c r="A143" s="513"/>
      <c r="B143" s="514"/>
      <c r="C143" s="515" t="str">
        <f t="shared" si="1"/>
        <v/>
      </c>
      <c r="D143" s="515" t="str">
        <f t="shared" si="2"/>
        <v/>
      </c>
      <c r="E143" s="515"/>
    </row>
    <row r="144">
      <c r="A144" s="513"/>
      <c r="B144" s="514"/>
      <c r="C144" s="515" t="str">
        <f t="shared" si="1"/>
        <v/>
      </c>
      <c r="D144" s="515" t="str">
        <f t="shared" si="2"/>
        <v/>
      </c>
      <c r="E144" s="515"/>
    </row>
    <row r="145">
      <c r="A145" s="513"/>
      <c r="B145" s="514"/>
      <c r="C145" s="515" t="str">
        <f t="shared" si="1"/>
        <v/>
      </c>
      <c r="D145" s="515" t="str">
        <f t="shared" si="2"/>
        <v/>
      </c>
      <c r="E145" s="515"/>
    </row>
    <row r="146">
      <c r="A146" s="513"/>
      <c r="B146" s="514"/>
      <c r="C146" s="515" t="str">
        <f t="shared" si="1"/>
        <v/>
      </c>
      <c r="D146" s="515" t="str">
        <f t="shared" si="2"/>
        <v/>
      </c>
      <c r="E146" s="515"/>
    </row>
    <row r="147">
      <c r="A147" s="513"/>
      <c r="B147" s="514"/>
      <c r="C147" s="515" t="str">
        <f t="shared" si="1"/>
        <v/>
      </c>
      <c r="D147" s="515" t="str">
        <f t="shared" si="2"/>
        <v/>
      </c>
      <c r="E147" s="515"/>
    </row>
    <row r="148">
      <c r="A148" s="513"/>
      <c r="B148" s="514"/>
      <c r="C148" s="515" t="str">
        <f t="shared" si="1"/>
        <v/>
      </c>
      <c r="D148" s="515" t="str">
        <f t="shared" si="2"/>
        <v/>
      </c>
      <c r="E148" s="515"/>
    </row>
    <row r="149">
      <c r="A149" s="513"/>
      <c r="B149" s="514"/>
      <c r="C149" s="515" t="str">
        <f t="shared" si="1"/>
        <v/>
      </c>
      <c r="D149" s="515" t="str">
        <f t="shared" si="2"/>
        <v/>
      </c>
      <c r="E149" s="515"/>
    </row>
    <row r="150">
      <c r="A150" s="513"/>
      <c r="B150" s="514"/>
      <c r="C150" s="515" t="str">
        <f t="shared" si="1"/>
        <v/>
      </c>
      <c r="D150" s="515" t="str">
        <f t="shared" si="2"/>
        <v/>
      </c>
      <c r="E150" s="515"/>
    </row>
    <row r="151">
      <c r="A151" s="513"/>
      <c r="B151" s="514"/>
      <c r="C151" s="515" t="str">
        <f t="shared" si="1"/>
        <v/>
      </c>
      <c r="D151" s="515" t="str">
        <f t="shared" si="2"/>
        <v/>
      </c>
      <c r="E151" s="515"/>
    </row>
    <row r="152">
      <c r="A152" s="513"/>
      <c r="B152" s="514"/>
      <c r="C152" s="515" t="str">
        <f t="shared" si="1"/>
        <v/>
      </c>
      <c r="D152" s="515" t="str">
        <f t="shared" si="2"/>
        <v/>
      </c>
      <c r="E152" s="515"/>
    </row>
    <row r="153">
      <c r="A153" s="513"/>
      <c r="B153" s="514"/>
      <c r="C153" s="515" t="str">
        <f t="shared" si="1"/>
        <v/>
      </c>
      <c r="D153" s="515" t="str">
        <f t="shared" si="2"/>
        <v/>
      </c>
      <c r="E153" s="515"/>
    </row>
    <row r="154">
      <c r="A154" s="513"/>
      <c r="B154" s="514"/>
      <c r="C154" s="515" t="str">
        <f t="shared" si="1"/>
        <v/>
      </c>
      <c r="D154" s="515" t="str">
        <f t="shared" si="2"/>
        <v/>
      </c>
      <c r="E154" s="515"/>
    </row>
    <row r="155">
      <c r="A155" s="513"/>
      <c r="B155" s="514"/>
      <c r="C155" s="515" t="str">
        <f t="shared" si="1"/>
        <v/>
      </c>
      <c r="D155" s="515" t="str">
        <f t="shared" si="2"/>
        <v/>
      </c>
      <c r="E155" s="515"/>
    </row>
    <row r="156">
      <c r="A156" s="513"/>
      <c r="B156" s="514"/>
      <c r="C156" s="515" t="str">
        <f t="shared" si="1"/>
        <v/>
      </c>
      <c r="D156" s="515" t="str">
        <f t="shared" si="2"/>
        <v/>
      </c>
      <c r="E156" s="515"/>
    </row>
    <row r="157">
      <c r="A157" s="513"/>
      <c r="B157" s="514"/>
      <c r="C157" s="515" t="str">
        <f t="shared" si="1"/>
        <v/>
      </c>
      <c r="D157" s="515" t="str">
        <f t="shared" si="2"/>
        <v/>
      </c>
      <c r="E157" s="515"/>
    </row>
    <row r="158">
      <c r="A158" s="513"/>
      <c r="B158" s="514"/>
      <c r="C158" s="515" t="str">
        <f t="shared" si="1"/>
        <v/>
      </c>
      <c r="D158" s="515" t="str">
        <f t="shared" si="2"/>
        <v/>
      </c>
      <c r="E158" s="515"/>
    </row>
    <row r="159">
      <c r="A159" s="513"/>
      <c r="B159" s="514"/>
      <c r="C159" s="515" t="str">
        <f t="shared" si="1"/>
        <v/>
      </c>
      <c r="D159" s="515" t="str">
        <f t="shared" si="2"/>
        <v/>
      </c>
      <c r="E159" s="515"/>
    </row>
    <row r="160">
      <c r="A160" s="513"/>
      <c r="B160" s="514"/>
      <c r="C160" s="515" t="str">
        <f t="shared" si="1"/>
        <v/>
      </c>
      <c r="D160" s="515" t="str">
        <f t="shared" si="2"/>
        <v/>
      </c>
      <c r="E160" s="515"/>
    </row>
    <row r="161">
      <c r="A161" s="513"/>
      <c r="B161" s="514"/>
      <c r="C161" s="515" t="str">
        <f t="shared" si="1"/>
        <v/>
      </c>
      <c r="D161" s="515" t="str">
        <f t="shared" si="2"/>
        <v/>
      </c>
      <c r="E161" s="515"/>
    </row>
    <row r="162">
      <c r="A162" s="513"/>
      <c r="B162" s="514"/>
      <c r="C162" s="515" t="str">
        <f t="shared" si="1"/>
        <v/>
      </c>
      <c r="D162" s="515" t="str">
        <f t="shared" si="2"/>
        <v/>
      </c>
      <c r="E162" s="515"/>
    </row>
    <row r="163">
      <c r="A163" s="513"/>
      <c r="B163" s="514"/>
      <c r="C163" s="515" t="str">
        <f t="shared" si="1"/>
        <v/>
      </c>
      <c r="D163" s="515" t="str">
        <f t="shared" si="2"/>
        <v/>
      </c>
      <c r="E163" s="515"/>
    </row>
    <row r="164">
      <c r="A164" s="513"/>
      <c r="B164" s="514"/>
      <c r="C164" s="515" t="str">
        <f t="shared" si="1"/>
        <v/>
      </c>
      <c r="D164" s="515" t="str">
        <f t="shared" si="2"/>
        <v/>
      </c>
      <c r="E164" s="515"/>
    </row>
    <row r="165">
      <c r="A165" s="513"/>
      <c r="B165" s="514"/>
      <c r="C165" s="515" t="str">
        <f t="shared" si="1"/>
        <v/>
      </c>
      <c r="D165" s="515" t="str">
        <f t="shared" si="2"/>
        <v/>
      </c>
      <c r="E165" s="515"/>
    </row>
    <row r="166">
      <c r="A166" s="513"/>
      <c r="B166" s="514"/>
      <c r="C166" s="515" t="str">
        <f t="shared" si="1"/>
        <v/>
      </c>
      <c r="D166" s="515" t="str">
        <f t="shared" si="2"/>
        <v/>
      </c>
      <c r="E166" s="515"/>
    </row>
    <row r="167">
      <c r="A167" s="513"/>
      <c r="B167" s="514"/>
      <c r="C167" s="515" t="str">
        <f t="shared" si="1"/>
        <v/>
      </c>
      <c r="D167" s="515" t="str">
        <f t="shared" si="2"/>
        <v/>
      </c>
      <c r="E167" s="515"/>
    </row>
    <row r="168">
      <c r="A168" s="513"/>
      <c r="B168" s="514"/>
      <c r="C168" s="515" t="str">
        <f t="shared" si="1"/>
        <v/>
      </c>
      <c r="D168" s="515" t="str">
        <f t="shared" si="2"/>
        <v/>
      </c>
      <c r="E168" s="515"/>
    </row>
    <row r="169">
      <c r="A169" s="513"/>
      <c r="B169" s="514"/>
      <c r="C169" s="515" t="str">
        <f t="shared" si="1"/>
        <v/>
      </c>
      <c r="D169" s="515" t="str">
        <f t="shared" si="2"/>
        <v/>
      </c>
      <c r="E169" s="515"/>
    </row>
    <row r="170">
      <c r="A170" s="513"/>
      <c r="B170" s="514"/>
      <c r="C170" s="515" t="str">
        <f t="shared" si="1"/>
        <v/>
      </c>
      <c r="D170" s="515" t="str">
        <f t="shared" si="2"/>
        <v/>
      </c>
      <c r="E170" s="515"/>
    </row>
    <row r="171">
      <c r="A171" s="513"/>
      <c r="B171" s="514"/>
      <c r="C171" s="515" t="str">
        <f t="shared" si="1"/>
        <v/>
      </c>
      <c r="D171" s="515" t="str">
        <f t="shared" si="2"/>
        <v/>
      </c>
      <c r="E171" s="515"/>
    </row>
    <row r="172">
      <c r="A172" s="513"/>
      <c r="B172" s="514"/>
      <c r="C172" s="515" t="str">
        <f t="shared" si="1"/>
        <v/>
      </c>
      <c r="D172" s="515" t="str">
        <f t="shared" si="2"/>
        <v/>
      </c>
      <c r="E172" s="515"/>
    </row>
    <row r="173">
      <c r="A173" s="513"/>
      <c r="B173" s="514"/>
      <c r="C173" s="515" t="str">
        <f t="shared" si="1"/>
        <v/>
      </c>
      <c r="D173" s="515" t="str">
        <f t="shared" si="2"/>
        <v/>
      </c>
      <c r="E173" s="515"/>
    </row>
    <row r="174">
      <c r="A174" s="513"/>
      <c r="B174" s="514"/>
      <c r="C174" s="515" t="str">
        <f t="shared" si="1"/>
        <v/>
      </c>
      <c r="D174" s="515" t="str">
        <f t="shared" si="2"/>
        <v/>
      </c>
      <c r="E174" s="515"/>
    </row>
    <row r="175">
      <c r="A175" s="513"/>
      <c r="B175" s="514"/>
      <c r="C175" s="515" t="str">
        <f t="shared" si="1"/>
        <v/>
      </c>
      <c r="D175" s="515" t="str">
        <f t="shared" si="2"/>
        <v/>
      </c>
      <c r="E175" s="515"/>
    </row>
    <row r="176">
      <c r="A176" s="513"/>
      <c r="B176" s="514"/>
      <c r="C176" s="515" t="str">
        <f t="shared" si="1"/>
        <v/>
      </c>
      <c r="D176" s="515" t="str">
        <f t="shared" si="2"/>
        <v/>
      </c>
      <c r="E176" s="515"/>
    </row>
    <row r="177">
      <c r="A177" s="513"/>
      <c r="B177" s="514"/>
      <c r="C177" s="515" t="str">
        <f t="shared" si="1"/>
        <v/>
      </c>
      <c r="D177" s="515" t="str">
        <f t="shared" si="2"/>
        <v/>
      </c>
      <c r="E177" s="515"/>
    </row>
    <row r="178">
      <c r="A178" s="513"/>
      <c r="B178" s="514"/>
      <c r="C178" s="515" t="str">
        <f t="shared" si="1"/>
        <v/>
      </c>
      <c r="D178" s="515" t="str">
        <f t="shared" si="2"/>
        <v/>
      </c>
      <c r="E178" s="515"/>
    </row>
    <row r="179">
      <c r="A179" s="513"/>
      <c r="B179" s="514"/>
      <c r="C179" s="515" t="str">
        <f t="shared" si="1"/>
        <v/>
      </c>
      <c r="D179" s="515" t="str">
        <f t="shared" si="2"/>
        <v/>
      </c>
      <c r="E179" s="515"/>
    </row>
    <row r="180">
      <c r="A180" s="513"/>
      <c r="B180" s="514"/>
      <c r="C180" s="515" t="str">
        <f t="shared" si="1"/>
        <v/>
      </c>
      <c r="D180" s="515" t="str">
        <f t="shared" si="2"/>
        <v/>
      </c>
      <c r="E180" s="515"/>
    </row>
    <row r="181">
      <c r="A181" s="513"/>
      <c r="B181" s="514"/>
      <c r="C181" s="515" t="str">
        <f t="shared" si="1"/>
        <v/>
      </c>
      <c r="D181" s="515" t="str">
        <f t="shared" si="2"/>
        <v/>
      </c>
      <c r="E181" s="515"/>
    </row>
    <row r="182">
      <c r="A182" s="513"/>
      <c r="B182" s="514"/>
      <c r="C182" s="515" t="str">
        <f t="shared" si="1"/>
        <v/>
      </c>
      <c r="D182" s="515" t="str">
        <f t="shared" si="2"/>
        <v/>
      </c>
      <c r="E182" s="515"/>
    </row>
    <row r="183">
      <c r="A183" s="513"/>
      <c r="B183" s="514"/>
      <c r="C183" s="515" t="str">
        <f t="shared" si="1"/>
        <v/>
      </c>
      <c r="D183" s="515" t="str">
        <f t="shared" si="2"/>
        <v/>
      </c>
      <c r="E183" s="515"/>
    </row>
    <row r="184">
      <c r="A184" s="513"/>
      <c r="B184" s="514"/>
      <c r="C184" s="515" t="str">
        <f t="shared" si="1"/>
        <v/>
      </c>
      <c r="D184" s="515" t="str">
        <f t="shared" si="2"/>
        <v/>
      </c>
      <c r="E184" s="515"/>
    </row>
    <row r="185">
      <c r="A185" s="513"/>
      <c r="B185" s="514"/>
      <c r="C185" s="515" t="str">
        <f t="shared" si="1"/>
        <v/>
      </c>
      <c r="D185" s="515" t="str">
        <f t="shared" si="2"/>
        <v/>
      </c>
      <c r="E185" s="515"/>
    </row>
    <row r="186">
      <c r="A186" s="513"/>
      <c r="B186" s="514"/>
      <c r="C186" s="515" t="str">
        <f t="shared" si="1"/>
        <v/>
      </c>
      <c r="D186" s="515" t="str">
        <f t="shared" si="2"/>
        <v/>
      </c>
      <c r="E186" s="515"/>
    </row>
    <row r="187">
      <c r="A187" s="513"/>
      <c r="B187" s="514"/>
      <c r="C187" s="515" t="str">
        <f t="shared" si="1"/>
        <v/>
      </c>
      <c r="D187" s="515" t="str">
        <f t="shared" si="2"/>
        <v/>
      </c>
      <c r="E187" s="515"/>
    </row>
    <row r="188">
      <c r="A188" s="513"/>
      <c r="B188" s="514"/>
      <c r="C188" s="515" t="str">
        <f t="shared" si="1"/>
        <v/>
      </c>
      <c r="D188" s="515" t="str">
        <f t="shared" si="2"/>
        <v/>
      </c>
      <c r="E188" s="515"/>
    </row>
    <row r="189">
      <c r="A189" s="513"/>
      <c r="B189" s="514"/>
      <c r="C189" s="515" t="str">
        <f t="shared" si="1"/>
        <v/>
      </c>
      <c r="D189" s="515" t="str">
        <f t="shared" si="2"/>
        <v/>
      </c>
      <c r="E189" s="515"/>
    </row>
    <row r="190">
      <c r="A190" s="513"/>
      <c r="B190" s="514"/>
      <c r="C190" s="515" t="str">
        <f t="shared" si="1"/>
        <v/>
      </c>
      <c r="D190" s="515" t="str">
        <f t="shared" si="2"/>
        <v/>
      </c>
      <c r="E190" s="515"/>
    </row>
    <row r="191">
      <c r="A191" s="513"/>
      <c r="B191" s="514"/>
      <c r="C191" s="515" t="str">
        <f t="shared" si="1"/>
        <v/>
      </c>
      <c r="D191" s="515" t="str">
        <f t="shared" si="2"/>
        <v/>
      </c>
      <c r="E191" s="515"/>
    </row>
    <row r="192">
      <c r="A192" s="513"/>
      <c r="B192" s="514"/>
      <c r="C192" s="515" t="str">
        <f t="shared" si="1"/>
        <v/>
      </c>
      <c r="D192" s="515" t="str">
        <f t="shared" si="2"/>
        <v/>
      </c>
      <c r="E192" s="515"/>
    </row>
    <row r="193">
      <c r="A193" s="513"/>
      <c r="B193" s="514"/>
      <c r="C193" s="515" t="str">
        <f t="shared" si="1"/>
        <v/>
      </c>
      <c r="D193" s="515" t="str">
        <f t="shared" si="2"/>
        <v/>
      </c>
      <c r="E193" s="515"/>
    </row>
    <row r="194">
      <c r="A194" s="513"/>
      <c r="B194" s="514"/>
      <c r="C194" s="515" t="str">
        <f t="shared" si="1"/>
        <v/>
      </c>
      <c r="D194" s="515" t="str">
        <f t="shared" si="2"/>
        <v/>
      </c>
      <c r="E194" s="515"/>
    </row>
    <row r="195">
      <c r="A195" s="513"/>
      <c r="B195" s="514"/>
      <c r="C195" s="515" t="str">
        <f t="shared" si="1"/>
        <v/>
      </c>
      <c r="D195" s="515" t="str">
        <f t="shared" si="2"/>
        <v/>
      </c>
      <c r="E195" s="515"/>
    </row>
    <row r="196">
      <c r="A196" s="513"/>
      <c r="B196" s="514"/>
      <c r="C196" s="515" t="str">
        <f t="shared" si="1"/>
        <v/>
      </c>
      <c r="D196" s="515" t="str">
        <f t="shared" si="2"/>
        <v/>
      </c>
      <c r="E196" s="515"/>
    </row>
    <row r="197">
      <c r="A197" s="513"/>
      <c r="B197" s="514"/>
      <c r="C197" s="515" t="str">
        <f t="shared" si="1"/>
        <v/>
      </c>
      <c r="D197" s="515" t="str">
        <f t="shared" si="2"/>
        <v/>
      </c>
      <c r="E197" s="515"/>
    </row>
    <row r="198">
      <c r="A198" s="513"/>
      <c r="B198" s="514"/>
      <c r="C198" s="515" t="str">
        <f t="shared" si="1"/>
        <v/>
      </c>
      <c r="D198" s="515" t="str">
        <f t="shared" si="2"/>
        <v/>
      </c>
      <c r="E198" s="515"/>
    </row>
    <row r="199">
      <c r="A199" s="513"/>
      <c r="B199" s="514"/>
      <c r="C199" s="515" t="str">
        <f t="shared" si="1"/>
        <v/>
      </c>
      <c r="D199" s="515" t="str">
        <f t="shared" si="2"/>
        <v/>
      </c>
      <c r="E199" s="515"/>
    </row>
    <row r="200">
      <c r="A200" s="513"/>
      <c r="B200" s="514"/>
      <c r="C200" s="515" t="str">
        <f t="shared" si="1"/>
        <v/>
      </c>
      <c r="D200" s="515" t="str">
        <f t="shared" si="2"/>
        <v/>
      </c>
      <c r="E200" s="515"/>
    </row>
    <row r="201">
      <c r="A201" s="513"/>
      <c r="B201" s="514"/>
      <c r="C201" s="515" t="str">
        <f t="shared" si="1"/>
        <v/>
      </c>
      <c r="D201" s="515" t="str">
        <f t="shared" si="2"/>
        <v/>
      </c>
      <c r="E201" s="515"/>
    </row>
    <row r="202">
      <c r="B202" s="47"/>
    </row>
    <row r="203">
      <c r="B203" s="47"/>
    </row>
    <row r="204">
      <c r="B204" s="47"/>
    </row>
    <row r="205">
      <c r="B205" s="47"/>
    </row>
    <row r="206">
      <c r="B206" s="47"/>
    </row>
    <row r="207">
      <c r="B207" s="47"/>
    </row>
    <row r="208">
      <c r="B208" s="47"/>
    </row>
    <row r="209">
      <c r="B209" s="47"/>
    </row>
    <row r="210">
      <c r="B210" s="47"/>
    </row>
    <row r="211">
      <c r="B211" s="47"/>
    </row>
    <row r="212">
      <c r="B212" s="47"/>
    </row>
    <row r="213">
      <c r="B213" s="47"/>
    </row>
    <row r="214">
      <c r="B214" s="47"/>
    </row>
    <row r="215">
      <c r="B215" s="47"/>
    </row>
    <row r="216">
      <c r="B216" s="47"/>
    </row>
    <row r="217">
      <c r="B217" s="47"/>
    </row>
    <row r="218">
      <c r="B218" s="47"/>
    </row>
    <row r="219">
      <c r="B219" s="47"/>
    </row>
    <row r="220">
      <c r="B220" s="47"/>
    </row>
    <row r="221">
      <c r="B221" s="47"/>
    </row>
    <row r="222">
      <c r="B222" s="47"/>
    </row>
    <row r="223">
      <c r="B223" s="47"/>
    </row>
    <row r="224">
      <c r="B224" s="47"/>
    </row>
    <row r="225">
      <c r="B225" s="47"/>
    </row>
    <row r="226">
      <c r="B226" s="47"/>
    </row>
    <row r="227">
      <c r="B227" s="47"/>
    </row>
    <row r="228">
      <c r="B228" s="47"/>
    </row>
    <row r="229">
      <c r="B229" s="47"/>
    </row>
    <row r="230">
      <c r="B230" s="47"/>
    </row>
    <row r="231">
      <c r="B231" s="47"/>
    </row>
    <row r="232">
      <c r="B232" s="47"/>
    </row>
    <row r="233">
      <c r="B233" s="47"/>
    </row>
    <row r="234">
      <c r="B234" s="47"/>
    </row>
    <row r="235">
      <c r="B235" s="47"/>
    </row>
    <row r="236">
      <c r="B236" s="47"/>
    </row>
    <row r="237">
      <c r="B237" s="47"/>
    </row>
    <row r="238">
      <c r="B238" s="47"/>
    </row>
    <row r="239">
      <c r="B239" s="47"/>
    </row>
    <row r="240">
      <c r="B240" s="47"/>
    </row>
    <row r="241">
      <c r="B241" s="47"/>
    </row>
    <row r="242">
      <c r="B242" s="47"/>
    </row>
    <row r="243">
      <c r="B243" s="47"/>
    </row>
    <row r="244">
      <c r="B244" s="47"/>
    </row>
    <row r="245">
      <c r="B245" s="47"/>
    </row>
    <row r="246">
      <c r="B246" s="47"/>
    </row>
    <row r="247">
      <c r="B247" s="47"/>
    </row>
    <row r="248">
      <c r="B248" s="47"/>
    </row>
    <row r="249">
      <c r="B249" s="47"/>
    </row>
    <row r="250">
      <c r="B250" s="47"/>
    </row>
    <row r="251">
      <c r="B251" s="47"/>
    </row>
    <row r="252">
      <c r="B252" s="47"/>
    </row>
    <row r="253">
      <c r="B253" s="47"/>
    </row>
    <row r="254">
      <c r="B254" s="47"/>
    </row>
    <row r="255">
      <c r="B255" s="47"/>
    </row>
    <row r="256">
      <c r="B256" s="47"/>
    </row>
    <row r="257">
      <c r="B257" s="47"/>
    </row>
    <row r="258">
      <c r="B258" s="47"/>
    </row>
    <row r="259">
      <c r="B259" s="47"/>
    </row>
    <row r="260">
      <c r="B260" s="47"/>
    </row>
    <row r="261">
      <c r="B261" s="47"/>
    </row>
    <row r="262">
      <c r="B262" s="47"/>
    </row>
    <row r="263">
      <c r="B263" s="47"/>
    </row>
    <row r="264">
      <c r="B264" s="47"/>
    </row>
    <row r="265">
      <c r="B265" s="47"/>
    </row>
    <row r="266">
      <c r="B266" s="47"/>
    </row>
    <row r="267">
      <c r="B267" s="47"/>
    </row>
    <row r="268">
      <c r="B268" s="47"/>
    </row>
    <row r="269">
      <c r="B269" s="47"/>
    </row>
    <row r="270">
      <c r="B270" s="47"/>
    </row>
    <row r="271">
      <c r="B271" s="47"/>
    </row>
    <row r="272">
      <c r="B272" s="47"/>
    </row>
    <row r="273">
      <c r="B273" s="47"/>
    </row>
    <row r="274">
      <c r="B274" s="47"/>
    </row>
    <row r="275">
      <c r="B275" s="47"/>
    </row>
    <row r="276">
      <c r="B276" s="47"/>
    </row>
    <row r="277">
      <c r="B277" s="47"/>
    </row>
    <row r="278">
      <c r="B278" s="47"/>
    </row>
    <row r="279">
      <c r="B279" s="47"/>
    </row>
    <row r="280">
      <c r="B280" s="47"/>
    </row>
    <row r="281">
      <c r="B281" s="47"/>
    </row>
    <row r="282">
      <c r="B282" s="47"/>
    </row>
    <row r="283">
      <c r="B283" s="47"/>
    </row>
    <row r="284">
      <c r="B284" s="47"/>
    </row>
    <row r="285">
      <c r="B285" s="47"/>
    </row>
    <row r="286">
      <c r="B286" s="47"/>
    </row>
    <row r="287">
      <c r="B287" s="47"/>
    </row>
    <row r="288">
      <c r="B288" s="47"/>
    </row>
    <row r="289">
      <c r="B289" s="47"/>
    </row>
    <row r="290">
      <c r="B290" s="47"/>
    </row>
    <row r="291">
      <c r="B291" s="47"/>
    </row>
    <row r="292">
      <c r="B292" s="47"/>
    </row>
    <row r="293">
      <c r="B293" s="47"/>
    </row>
    <row r="294">
      <c r="B294" s="47"/>
    </row>
    <row r="295">
      <c r="B295" s="47"/>
    </row>
    <row r="296">
      <c r="B296" s="47"/>
    </row>
    <row r="297">
      <c r="B297" s="47"/>
    </row>
    <row r="298">
      <c r="B298" s="47"/>
    </row>
    <row r="299">
      <c r="B299" s="47"/>
    </row>
    <row r="300">
      <c r="B300" s="47"/>
    </row>
    <row r="301">
      <c r="B301" s="47"/>
    </row>
    <row r="302">
      <c r="B302" s="47"/>
    </row>
    <row r="303">
      <c r="B303" s="47"/>
    </row>
    <row r="304">
      <c r="B304" s="47"/>
    </row>
    <row r="305">
      <c r="B305" s="47"/>
    </row>
    <row r="306">
      <c r="B306" s="47"/>
    </row>
    <row r="307">
      <c r="B307" s="47"/>
    </row>
    <row r="308">
      <c r="B308" s="47"/>
    </row>
    <row r="309">
      <c r="B309" s="47"/>
    </row>
    <row r="310">
      <c r="B310" s="47"/>
    </row>
    <row r="311">
      <c r="B311" s="47"/>
    </row>
    <row r="312">
      <c r="B312" s="47"/>
    </row>
    <row r="313">
      <c r="B313" s="47"/>
    </row>
    <row r="314">
      <c r="B314" s="47"/>
    </row>
    <row r="315">
      <c r="B315" s="47"/>
    </row>
    <row r="316">
      <c r="B316" s="47"/>
    </row>
    <row r="317">
      <c r="B317" s="47"/>
    </row>
    <row r="318">
      <c r="B318" s="47"/>
    </row>
    <row r="319">
      <c r="B319" s="47"/>
    </row>
    <row r="320">
      <c r="B320" s="47"/>
    </row>
    <row r="321">
      <c r="B321" s="47"/>
    </row>
    <row r="322">
      <c r="B322" s="47"/>
    </row>
    <row r="323">
      <c r="B323" s="47"/>
    </row>
    <row r="324">
      <c r="B324" s="47"/>
    </row>
    <row r="325">
      <c r="B325" s="47"/>
    </row>
    <row r="326">
      <c r="B326" s="47"/>
    </row>
    <row r="327">
      <c r="B327" s="47"/>
    </row>
    <row r="328">
      <c r="B328" s="47"/>
    </row>
    <row r="329">
      <c r="B329" s="47"/>
    </row>
    <row r="330">
      <c r="B330" s="47"/>
    </row>
    <row r="331">
      <c r="B331" s="47"/>
    </row>
    <row r="332">
      <c r="B332" s="47"/>
    </row>
    <row r="333">
      <c r="B333" s="47"/>
    </row>
    <row r="334">
      <c r="B334" s="47"/>
    </row>
    <row r="335">
      <c r="B335" s="47"/>
    </row>
    <row r="336">
      <c r="B336" s="47"/>
    </row>
    <row r="337">
      <c r="B337" s="47"/>
    </row>
    <row r="338">
      <c r="B338" s="47"/>
    </row>
    <row r="339">
      <c r="B339" s="47"/>
    </row>
    <row r="340">
      <c r="B340" s="47"/>
    </row>
    <row r="341">
      <c r="B341" s="47"/>
    </row>
    <row r="342">
      <c r="B342" s="47"/>
    </row>
    <row r="343">
      <c r="B343" s="47"/>
    </row>
    <row r="344">
      <c r="B344" s="47"/>
    </row>
    <row r="345">
      <c r="B345" s="47"/>
    </row>
    <row r="346">
      <c r="B346" s="47"/>
    </row>
    <row r="347">
      <c r="B347" s="47"/>
    </row>
    <row r="348">
      <c r="B348" s="47"/>
    </row>
    <row r="349">
      <c r="B349" s="47"/>
    </row>
    <row r="350">
      <c r="B350" s="47"/>
    </row>
    <row r="351">
      <c r="B351" s="47"/>
    </row>
    <row r="352">
      <c r="B352" s="47"/>
    </row>
    <row r="353">
      <c r="B353" s="47"/>
    </row>
    <row r="354">
      <c r="B354" s="47"/>
    </row>
    <row r="355">
      <c r="B355" s="47"/>
    </row>
    <row r="356">
      <c r="B356" s="47"/>
    </row>
    <row r="357">
      <c r="B357" s="47"/>
    </row>
    <row r="358">
      <c r="B358" s="47"/>
    </row>
    <row r="359">
      <c r="B359" s="47"/>
    </row>
    <row r="360">
      <c r="B360" s="47"/>
    </row>
    <row r="361">
      <c r="B361" s="47"/>
    </row>
    <row r="362">
      <c r="B362" s="47"/>
    </row>
    <row r="363">
      <c r="B363" s="47"/>
    </row>
    <row r="364">
      <c r="B364" s="47"/>
    </row>
    <row r="365">
      <c r="B365" s="47"/>
    </row>
    <row r="366">
      <c r="B366" s="47"/>
    </row>
    <row r="367">
      <c r="B367" s="47"/>
    </row>
    <row r="368">
      <c r="B368" s="47"/>
    </row>
    <row r="369">
      <c r="B369" s="47"/>
    </row>
    <row r="370">
      <c r="B370" s="47"/>
    </row>
    <row r="371">
      <c r="B371" s="47"/>
    </row>
    <row r="372">
      <c r="B372" s="47"/>
    </row>
    <row r="373">
      <c r="B373" s="47"/>
    </row>
    <row r="374">
      <c r="B374" s="47"/>
    </row>
    <row r="375">
      <c r="B375" s="47"/>
    </row>
    <row r="376">
      <c r="B376" s="47"/>
    </row>
    <row r="377">
      <c r="B377" s="47"/>
    </row>
    <row r="378">
      <c r="B378" s="47"/>
    </row>
    <row r="379">
      <c r="B379" s="47"/>
    </row>
    <row r="380">
      <c r="B380" s="47"/>
    </row>
    <row r="381">
      <c r="B381" s="47"/>
    </row>
    <row r="382">
      <c r="B382" s="47"/>
    </row>
    <row r="383">
      <c r="B383" s="47"/>
    </row>
    <row r="384">
      <c r="B384" s="47"/>
    </row>
    <row r="385">
      <c r="B385" s="47"/>
    </row>
    <row r="386">
      <c r="B386" s="47"/>
    </row>
    <row r="387">
      <c r="B387" s="47"/>
    </row>
    <row r="388">
      <c r="B388" s="47"/>
    </row>
    <row r="389">
      <c r="B389" s="47"/>
    </row>
    <row r="390">
      <c r="B390" s="47"/>
    </row>
    <row r="391">
      <c r="B391" s="47"/>
    </row>
    <row r="392">
      <c r="B392" s="47"/>
    </row>
    <row r="393">
      <c r="B393" s="47"/>
    </row>
    <row r="394">
      <c r="B394" s="47"/>
    </row>
    <row r="395">
      <c r="B395" s="47"/>
    </row>
    <row r="396">
      <c r="B396" s="47"/>
    </row>
    <row r="397">
      <c r="B397" s="47"/>
    </row>
    <row r="398">
      <c r="B398" s="47"/>
    </row>
    <row r="399">
      <c r="B399" s="47"/>
    </row>
    <row r="400">
      <c r="B400" s="47"/>
    </row>
    <row r="401">
      <c r="B401" s="47"/>
    </row>
    <row r="402">
      <c r="B402" s="47"/>
    </row>
    <row r="403">
      <c r="B403" s="47"/>
    </row>
    <row r="404">
      <c r="B404" s="47"/>
    </row>
    <row r="405">
      <c r="B405" s="47"/>
    </row>
    <row r="406">
      <c r="B406" s="47"/>
    </row>
    <row r="407">
      <c r="B407" s="47"/>
    </row>
    <row r="408">
      <c r="B408" s="47"/>
    </row>
    <row r="409">
      <c r="B409" s="47"/>
    </row>
    <row r="410">
      <c r="B410" s="47"/>
    </row>
    <row r="411">
      <c r="B411" s="47"/>
    </row>
    <row r="412">
      <c r="B412" s="47"/>
    </row>
    <row r="413">
      <c r="B413" s="47"/>
    </row>
    <row r="414">
      <c r="B414" s="47"/>
    </row>
    <row r="415">
      <c r="B415" s="47"/>
    </row>
    <row r="416">
      <c r="B416" s="47"/>
    </row>
    <row r="417">
      <c r="B417" s="47"/>
    </row>
    <row r="418">
      <c r="B418" s="47"/>
    </row>
    <row r="419">
      <c r="B419" s="47"/>
    </row>
    <row r="420">
      <c r="B420" s="47"/>
    </row>
    <row r="421">
      <c r="B421" s="47"/>
    </row>
    <row r="422">
      <c r="B422" s="47"/>
    </row>
    <row r="423">
      <c r="B423" s="47"/>
    </row>
    <row r="424">
      <c r="B424" s="47"/>
    </row>
    <row r="425">
      <c r="B425" s="47"/>
    </row>
    <row r="426">
      <c r="B426" s="47"/>
    </row>
    <row r="427">
      <c r="B427" s="47"/>
    </row>
    <row r="428">
      <c r="B428" s="47"/>
    </row>
    <row r="429">
      <c r="B429" s="47"/>
    </row>
    <row r="430">
      <c r="B430" s="47"/>
    </row>
    <row r="431">
      <c r="B431" s="47"/>
    </row>
    <row r="432">
      <c r="B432" s="47"/>
    </row>
    <row r="433">
      <c r="B433" s="47"/>
    </row>
    <row r="434">
      <c r="B434" s="47"/>
    </row>
    <row r="435">
      <c r="B435" s="47"/>
    </row>
    <row r="436">
      <c r="B436" s="47"/>
    </row>
    <row r="437">
      <c r="B437" s="47"/>
    </row>
    <row r="438">
      <c r="B438" s="47"/>
    </row>
    <row r="439">
      <c r="B439" s="47"/>
    </row>
    <row r="440">
      <c r="B440" s="47"/>
    </row>
    <row r="441">
      <c r="B441" s="47"/>
    </row>
    <row r="442">
      <c r="B442" s="47"/>
    </row>
    <row r="443">
      <c r="B443" s="47"/>
    </row>
    <row r="444">
      <c r="B444" s="47"/>
    </row>
    <row r="445">
      <c r="B445" s="47"/>
    </row>
    <row r="446">
      <c r="B446" s="47"/>
    </row>
    <row r="447">
      <c r="B447" s="47"/>
    </row>
    <row r="448">
      <c r="B448" s="47"/>
    </row>
    <row r="449">
      <c r="B449" s="47"/>
    </row>
    <row r="450">
      <c r="B450" s="47"/>
    </row>
    <row r="451">
      <c r="B451" s="47"/>
    </row>
    <row r="452">
      <c r="B452" s="47"/>
    </row>
    <row r="453">
      <c r="B453" s="47"/>
    </row>
    <row r="454">
      <c r="B454" s="47"/>
    </row>
    <row r="455">
      <c r="B455" s="47"/>
    </row>
    <row r="456">
      <c r="B456" s="47"/>
    </row>
    <row r="457">
      <c r="B457" s="47"/>
    </row>
    <row r="458">
      <c r="B458" s="47"/>
    </row>
    <row r="459">
      <c r="B459" s="47"/>
    </row>
    <row r="460">
      <c r="B460" s="47"/>
    </row>
    <row r="461">
      <c r="B461" s="47"/>
    </row>
    <row r="462">
      <c r="B462" s="47"/>
    </row>
    <row r="463">
      <c r="B463" s="47"/>
    </row>
    <row r="464">
      <c r="B464" s="47"/>
    </row>
    <row r="465">
      <c r="B465" s="47"/>
    </row>
    <row r="466">
      <c r="B466" s="47"/>
    </row>
    <row r="467">
      <c r="B467" s="47"/>
    </row>
    <row r="468">
      <c r="B468" s="47"/>
    </row>
    <row r="469">
      <c r="B469" s="47"/>
    </row>
    <row r="470">
      <c r="B470" s="47"/>
    </row>
    <row r="471">
      <c r="B471" s="47"/>
    </row>
    <row r="472">
      <c r="B472" s="47"/>
    </row>
    <row r="473">
      <c r="B473" s="47"/>
    </row>
    <row r="474">
      <c r="B474" s="47"/>
    </row>
    <row r="475">
      <c r="B475" s="47"/>
    </row>
    <row r="476">
      <c r="B476" s="47"/>
    </row>
    <row r="477">
      <c r="B477" s="47"/>
    </row>
    <row r="478">
      <c r="B478" s="47"/>
    </row>
    <row r="479">
      <c r="B479" s="47"/>
    </row>
    <row r="480">
      <c r="B480" s="47"/>
    </row>
    <row r="481">
      <c r="B481" s="47"/>
    </row>
    <row r="482">
      <c r="B482" s="47"/>
    </row>
    <row r="483">
      <c r="B483" s="47"/>
    </row>
    <row r="484">
      <c r="B484" s="47"/>
    </row>
    <row r="485">
      <c r="B485" s="47"/>
    </row>
    <row r="486">
      <c r="B486" s="47"/>
    </row>
    <row r="487">
      <c r="B487" s="47"/>
    </row>
    <row r="488">
      <c r="B488" s="47"/>
    </row>
    <row r="489">
      <c r="B489" s="47"/>
    </row>
    <row r="490">
      <c r="B490" s="47"/>
    </row>
    <row r="491">
      <c r="B491" s="47"/>
    </row>
    <row r="492">
      <c r="B492" s="47"/>
    </row>
    <row r="493">
      <c r="B493" s="47"/>
    </row>
    <row r="494">
      <c r="B494" s="47"/>
    </row>
    <row r="495">
      <c r="B495" s="47"/>
    </row>
    <row r="496">
      <c r="B496" s="47"/>
    </row>
    <row r="497">
      <c r="B497" s="47"/>
    </row>
    <row r="498">
      <c r="B498" s="47"/>
    </row>
    <row r="499">
      <c r="B499" s="47"/>
    </row>
    <row r="500">
      <c r="B500" s="47"/>
    </row>
    <row r="501">
      <c r="B501" s="47"/>
    </row>
    <row r="502">
      <c r="B502" s="47"/>
    </row>
    <row r="503">
      <c r="B503" s="47"/>
    </row>
    <row r="504">
      <c r="B504" s="47"/>
    </row>
    <row r="505">
      <c r="B505" s="47"/>
    </row>
    <row r="506">
      <c r="B506" s="47"/>
    </row>
    <row r="507">
      <c r="B507" s="47"/>
    </row>
    <row r="508">
      <c r="B508" s="47"/>
    </row>
    <row r="509">
      <c r="B509" s="47"/>
    </row>
    <row r="510">
      <c r="B510" s="47"/>
    </row>
    <row r="511">
      <c r="B511" s="47"/>
    </row>
    <row r="512">
      <c r="B512" s="47"/>
    </row>
    <row r="513">
      <c r="B513" s="47"/>
    </row>
    <row r="514">
      <c r="B514" s="47"/>
    </row>
    <row r="515">
      <c r="B515" s="47"/>
    </row>
    <row r="516">
      <c r="B516" s="47"/>
    </row>
    <row r="517">
      <c r="B517" s="47"/>
    </row>
    <row r="518">
      <c r="B518" s="47"/>
    </row>
    <row r="519">
      <c r="B519" s="47"/>
    </row>
    <row r="520">
      <c r="B520" s="47"/>
    </row>
    <row r="521">
      <c r="B521" s="47"/>
    </row>
    <row r="522">
      <c r="B522" s="47"/>
    </row>
    <row r="523">
      <c r="B523" s="47"/>
    </row>
    <row r="524">
      <c r="B524" s="47"/>
    </row>
    <row r="525">
      <c r="B525" s="47"/>
    </row>
    <row r="526">
      <c r="B526" s="47"/>
    </row>
    <row r="527">
      <c r="B527" s="47"/>
    </row>
    <row r="528">
      <c r="B528" s="47"/>
    </row>
    <row r="529">
      <c r="B529" s="47"/>
    </row>
    <row r="530">
      <c r="B530" s="47"/>
    </row>
    <row r="531">
      <c r="B531" s="47"/>
    </row>
    <row r="532">
      <c r="B532" s="47"/>
    </row>
    <row r="533">
      <c r="B533" s="47"/>
    </row>
    <row r="534">
      <c r="B534" s="47"/>
    </row>
    <row r="535">
      <c r="B535" s="47"/>
    </row>
    <row r="536">
      <c r="B536" s="47"/>
    </row>
    <row r="537">
      <c r="B537" s="47"/>
    </row>
    <row r="538">
      <c r="B538" s="47"/>
    </row>
    <row r="539">
      <c r="B539" s="47"/>
    </row>
    <row r="540">
      <c r="B540" s="47"/>
    </row>
    <row r="541">
      <c r="B541" s="47"/>
    </row>
    <row r="542">
      <c r="B542" s="47"/>
    </row>
    <row r="543">
      <c r="B543" s="47"/>
    </row>
    <row r="544">
      <c r="B544" s="47"/>
    </row>
    <row r="545">
      <c r="B545" s="47"/>
    </row>
    <row r="546">
      <c r="B546" s="47"/>
    </row>
    <row r="547">
      <c r="B547" s="47"/>
    </row>
    <row r="548">
      <c r="B548" s="47"/>
    </row>
    <row r="549">
      <c r="B549" s="47"/>
    </row>
    <row r="550">
      <c r="B550" s="47"/>
    </row>
    <row r="551">
      <c r="B551" s="47"/>
    </row>
    <row r="552">
      <c r="B552" s="47"/>
    </row>
    <row r="553">
      <c r="B553" s="47"/>
    </row>
    <row r="554">
      <c r="B554" s="47"/>
    </row>
    <row r="555">
      <c r="B555" s="47"/>
    </row>
    <row r="556">
      <c r="B556" s="47"/>
    </row>
    <row r="557">
      <c r="B557" s="47"/>
    </row>
    <row r="558">
      <c r="B558" s="47"/>
    </row>
    <row r="559">
      <c r="B559" s="47"/>
    </row>
    <row r="560">
      <c r="B560" s="47"/>
    </row>
    <row r="561">
      <c r="B561" s="47"/>
    </row>
    <row r="562">
      <c r="B562" s="47"/>
    </row>
    <row r="563">
      <c r="B563" s="47"/>
    </row>
    <row r="564">
      <c r="B564" s="47"/>
    </row>
    <row r="565">
      <c r="B565" s="47"/>
    </row>
    <row r="566">
      <c r="B566" s="47"/>
    </row>
    <row r="567">
      <c r="B567" s="47"/>
    </row>
    <row r="568">
      <c r="B568" s="47"/>
    </row>
    <row r="569">
      <c r="B569" s="47"/>
    </row>
    <row r="570">
      <c r="B570" s="47"/>
    </row>
    <row r="571">
      <c r="B571" s="47"/>
    </row>
    <row r="572">
      <c r="B572" s="47"/>
    </row>
    <row r="573">
      <c r="B573" s="47"/>
    </row>
    <row r="574">
      <c r="B574" s="47"/>
    </row>
    <row r="575">
      <c r="B575" s="47"/>
    </row>
    <row r="576">
      <c r="B576" s="47"/>
    </row>
    <row r="577">
      <c r="B577" s="47"/>
    </row>
    <row r="578">
      <c r="B578" s="47"/>
    </row>
    <row r="579">
      <c r="B579" s="47"/>
    </row>
    <row r="580">
      <c r="B580" s="47"/>
    </row>
    <row r="581">
      <c r="B581" s="47"/>
    </row>
    <row r="582">
      <c r="B582" s="47"/>
    </row>
    <row r="583">
      <c r="B583" s="47"/>
    </row>
    <row r="584">
      <c r="B584" s="47"/>
    </row>
    <row r="585">
      <c r="B585" s="47"/>
    </row>
    <row r="586">
      <c r="B586" s="47"/>
    </row>
    <row r="587">
      <c r="B587" s="47"/>
    </row>
    <row r="588">
      <c r="B588" s="47"/>
    </row>
    <row r="589">
      <c r="B589" s="47"/>
    </row>
    <row r="590">
      <c r="B590" s="47"/>
    </row>
    <row r="591">
      <c r="B591" s="47"/>
    </row>
    <row r="592">
      <c r="B592" s="47"/>
    </row>
    <row r="593">
      <c r="B593" s="47"/>
    </row>
    <row r="594">
      <c r="B594" s="47"/>
    </row>
    <row r="595">
      <c r="B595" s="47"/>
    </row>
    <row r="596">
      <c r="B596" s="47"/>
    </row>
    <row r="597">
      <c r="B597" s="47"/>
    </row>
    <row r="598">
      <c r="B598" s="47"/>
    </row>
    <row r="599">
      <c r="B599" s="47"/>
    </row>
    <row r="600">
      <c r="B600" s="47"/>
    </row>
    <row r="601">
      <c r="B601" s="47"/>
    </row>
    <row r="602">
      <c r="B602" s="47"/>
    </row>
    <row r="603">
      <c r="B603" s="47"/>
    </row>
    <row r="604">
      <c r="B604" s="47"/>
    </row>
    <row r="605">
      <c r="B605" s="47"/>
    </row>
    <row r="606">
      <c r="B606" s="47"/>
    </row>
    <row r="607">
      <c r="B607" s="47"/>
    </row>
    <row r="608">
      <c r="B608" s="47"/>
    </row>
    <row r="609">
      <c r="B609" s="47"/>
    </row>
    <row r="610">
      <c r="B610" s="47"/>
    </row>
    <row r="611">
      <c r="B611" s="47"/>
    </row>
    <row r="612">
      <c r="B612" s="47"/>
    </row>
    <row r="613">
      <c r="B613" s="47"/>
    </row>
    <row r="614">
      <c r="B614" s="47"/>
    </row>
    <row r="615">
      <c r="B615" s="47"/>
    </row>
    <row r="616">
      <c r="B616" s="47"/>
    </row>
    <row r="617">
      <c r="B617" s="47"/>
    </row>
    <row r="618">
      <c r="B618" s="47"/>
    </row>
    <row r="619">
      <c r="B619" s="47"/>
    </row>
    <row r="620">
      <c r="B620" s="47"/>
    </row>
    <row r="621">
      <c r="B621" s="47"/>
    </row>
    <row r="622">
      <c r="B622" s="47"/>
    </row>
    <row r="623">
      <c r="B623" s="47"/>
    </row>
    <row r="624">
      <c r="B624" s="47"/>
    </row>
    <row r="625">
      <c r="B625" s="47"/>
    </row>
    <row r="626">
      <c r="B626" s="47"/>
    </row>
    <row r="627">
      <c r="B627" s="47"/>
    </row>
    <row r="628">
      <c r="B628" s="47"/>
    </row>
    <row r="629">
      <c r="B629" s="47"/>
    </row>
    <row r="630">
      <c r="B630" s="47"/>
    </row>
    <row r="631">
      <c r="B631" s="47"/>
    </row>
    <row r="632">
      <c r="B632" s="47"/>
    </row>
    <row r="633">
      <c r="B633" s="47"/>
    </row>
    <row r="634">
      <c r="B634" s="47"/>
    </row>
    <row r="635">
      <c r="B635" s="47"/>
    </row>
    <row r="636">
      <c r="B636" s="47"/>
    </row>
    <row r="637">
      <c r="B637" s="47"/>
    </row>
    <row r="638">
      <c r="B638" s="47"/>
    </row>
    <row r="639">
      <c r="B639" s="47"/>
    </row>
    <row r="640">
      <c r="B640" s="47"/>
    </row>
    <row r="641">
      <c r="B641" s="47"/>
    </row>
    <row r="642">
      <c r="B642" s="47"/>
    </row>
    <row r="643">
      <c r="B643" s="47"/>
    </row>
    <row r="644">
      <c r="B644" s="47"/>
    </row>
    <row r="645">
      <c r="B645" s="47"/>
    </row>
    <row r="646">
      <c r="B646" s="47"/>
    </row>
    <row r="647">
      <c r="B647" s="47"/>
    </row>
    <row r="648">
      <c r="B648" s="47"/>
    </row>
    <row r="649">
      <c r="B649" s="47"/>
    </row>
    <row r="650">
      <c r="B650" s="47"/>
    </row>
    <row r="651">
      <c r="B651" s="47"/>
    </row>
    <row r="652">
      <c r="B652" s="47"/>
    </row>
    <row r="653">
      <c r="B653" s="47"/>
    </row>
    <row r="654">
      <c r="B654" s="47"/>
    </row>
    <row r="655">
      <c r="B655" s="47"/>
    </row>
    <row r="656">
      <c r="B656" s="47"/>
    </row>
    <row r="657">
      <c r="B657" s="47"/>
    </row>
    <row r="658">
      <c r="B658" s="47"/>
    </row>
    <row r="659">
      <c r="B659" s="47"/>
    </row>
    <row r="660">
      <c r="B660" s="47"/>
    </row>
    <row r="661">
      <c r="B661" s="47"/>
    </row>
    <row r="662">
      <c r="B662" s="47"/>
    </row>
    <row r="663">
      <c r="B663" s="47"/>
    </row>
    <row r="664">
      <c r="B664" s="47"/>
    </row>
    <row r="665">
      <c r="B665" s="47"/>
    </row>
    <row r="666">
      <c r="B666" s="47"/>
    </row>
    <row r="667">
      <c r="B667" s="47"/>
    </row>
    <row r="668">
      <c r="B668" s="47"/>
    </row>
    <row r="669">
      <c r="B669" s="47"/>
    </row>
    <row r="670">
      <c r="B670" s="47"/>
    </row>
    <row r="671">
      <c r="B671" s="47"/>
    </row>
    <row r="672">
      <c r="B672" s="47"/>
    </row>
    <row r="673">
      <c r="B673" s="47"/>
    </row>
    <row r="674">
      <c r="B674" s="47"/>
    </row>
    <row r="675">
      <c r="B675" s="47"/>
    </row>
    <row r="676">
      <c r="B676" s="47"/>
    </row>
    <row r="677">
      <c r="B677" s="47"/>
    </row>
    <row r="678">
      <c r="B678" s="47"/>
    </row>
    <row r="679">
      <c r="B679" s="47"/>
    </row>
    <row r="680">
      <c r="B680" s="47"/>
    </row>
    <row r="681">
      <c r="B681" s="47"/>
    </row>
    <row r="682">
      <c r="B682" s="47"/>
    </row>
    <row r="683">
      <c r="B683" s="47"/>
    </row>
    <row r="684">
      <c r="B684" s="47"/>
    </row>
    <row r="685">
      <c r="B685" s="47"/>
    </row>
    <row r="686">
      <c r="B686" s="47"/>
    </row>
    <row r="687">
      <c r="B687" s="47"/>
    </row>
    <row r="688">
      <c r="B688" s="47"/>
    </row>
    <row r="689">
      <c r="B689" s="47"/>
    </row>
    <row r="690">
      <c r="B690" s="47"/>
    </row>
    <row r="691">
      <c r="B691" s="47"/>
    </row>
    <row r="692">
      <c r="B692" s="47"/>
    </row>
    <row r="693">
      <c r="B693" s="47"/>
    </row>
    <row r="694">
      <c r="B694" s="47"/>
    </row>
    <row r="695">
      <c r="B695" s="47"/>
    </row>
    <row r="696">
      <c r="B696" s="47"/>
    </row>
    <row r="697">
      <c r="B697" s="47"/>
    </row>
    <row r="698">
      <c r="B698" s="47"/>
    </row>
    <row r="699">
      <c r="B699" s="47"/>
    </row>
    <row r="700">
      <c r="B700" s="47"/>
    </row>
    <row r="701">
      <c r="B701" s="47"/>
    </row>
    <row r="702">
      <c r="B702" s="47"/>
    </row>
    <row r="703">
      <c r="B703" s="47"/>
    </row>
    <row r="704">
      <c r="B704" s="47"/>
    </row>
    <row r="705">
      <c r="B705" s="47"/>
    </row>
    <row r="706">
      <c r="B706" s="47"/>
    </row>
    <row r="707">
      <c r="B707" s="47"/>
    </row>
    <row r="708">
      <c r="B708" s="47"/>
    </row>
    <row r="709">
      <c r="B709" s="47"/>
    </row>
    <row r="710">
      <c r="B710" s="47"/>
    </row>
    <row r="711">
      <c r="B711" s="47"/>
    </row>
    <row r="712">
      <c r="B712" s="47"/>
    </row>
    <row r="713">
      <c r="B713" s="47"/>
    </row>
    <row r="714">
      <c r="B714" s="47"/>
    </row>
    <row r="715">
      <c r="B715" s="47"/>
    </row>
    <row r="716">
      <c r="B716" s="47"/>
    </row>
    <row r="717">
      <c r="B717" s="47"/>
    </row>
    <row r="718">
      <c r="B718" s="47"/>
    </row>
    <row r="719">
      <c r="B719" s="47"/>
    </row>
    <row r="720">
      <c r="B720" s="47"/>
    </row>
    <row r="721">
      <c r="B721" s="47"/>
    </row>
    <row r="722">
      <c r="B722" s="47"/>
    </row>
    <row r="723">
      <c r="B723" s="47"/>
    </row>
    <row r="724">
      <c r="B724" s="47"/>
    </row>
    <row r="725">
      <c r="B725" s="47"/>
    </row>
    <row r="726">
      <c r="B726" s="47"/>
    </row>
    <row r="727">
      <c r="B727" s="47"/>
    </row>
    <row r="728">
      <c r="B728" s="47"/>
    </row>
    <row r="729">
      <c r="B729" s="47"/>
    </row>
    <row r="730">
      <c r="B730" s="47"/>
    </row>
    <row r="731">
      <c r="B731" s="47"/>
    </row>
    <row r="732">
      <c r="B732" s="47"/>
    </row>
    <row r="733">
      <c r="B733" s="47"/>
    </row>
    <row r="734">
      <c r="B734" s="47"/>
    </row>
    <row r="735">
      <c r="B735" s="47"/>
    </row>
    <row r="736">
      <c r="B736" s="47"/>
    </row>
    <row r="737">
      <c r="B737" s="47"/>
    </row>
    <row r="738">
      <c r="B738" s="47"/>
    </row>
    <row r="739">
      <c r="B739" s="47"/>
    </row>
    <row r="740">
      <c r="B740" s="47"/>
    </row>
    <row r="741">
      <c r="B741" s="47"/>
    </row>
    <row r="742">
      <c r="B742" s="47"/>
    </row>
    <row r="743">
      <c r="B743" s="47"/>
    </row>
    <row r="744">
      <c r="B744" s="47"/>
    </row>
    <row r="745">
      <c r="B745" s="47"/>
    </row>
    <row r="746">
      <c r="B746" s="47"/>
    </row>
    <row r="747">
      <c r="B747" s="47"/>
    </row>
    <row r="748">
      <c r="B748" s="47"/>
    </row>
    <row r="749">
      <c r="B749" s="47"/>
    </row>
    <row r="750">
      <c r="B750" s="47"/>
    </row>
    <row r="751">
      <c r="B751" s="47"/>
    </row>
    <row r="752">
      <c r="B752" s="47"/>
    </row>
    <row r="753">
      <c r="B753" s="47"/>
    </row>
    <row r="754">
      <c r="B754" s="47"/>
    </row>
    <row r="755">
      <c r="B755" s="47"/>
    </row>
    <row r="756">
      <c r="B756" s="47"/>
    </row>
    <row r="757">
      <c r="B757" s="47"/>
    </row>
    <row r="758">
      <c r="B758" s="47"/>
    </row>
    <row r="759">
      <c r="B759" s="47"/>
    </row>
    <row r="760">
      <c r="B760" s="47"/>
    </row>
    <row r="761">
      <c r="B761" s="47"/>
    </row>
    <row r="762">
      <c r="B762" s="47"/>
    </row>
    <row r="763">
      <c r="B763" s="47"/>
    </row>
    <row r="764">
      <c r="B764" s="47"/>
    </row>
    <row r="765">
      <c r="B765" s="47"/>
    </row>
    <row r="766">
      <c r="B766" s="47"/>
    </row>
    <row r="767">
      <c r="B767" s="47"/>
    </row>
    <row r="768">
      <c r="B768" s="47"/>
    </row>
    <row r="769">
      <c r="B769" s="47"/>
    </row>
    <row r="770">
      <c r="B770" s="47"/>
    </row>
    <row r="771">
      <c r="B771" s="47"/>
    </row>
    <row r="772">
      <c r="B772" s="47"/>
    </row>
    <row r="773">
      <c r="B773" s="47"/>
    </row>
    <row r="774">
      <c r="B774" s="47"/>
    </row>
    <row r="775">
      <c r="B775" s="47"/>
    </row>
    <row r="776">
      <c r="B776" s="47"/>
    </row>
    <row r="777">
      <c r="B777" s="47"/>
    </row>
    <row r="778">
      <c r="B778" s="47"/>
    </row>
    <row r="779">
      <c r="B779" s="47"/>
    </row>
    <row r="780">
      <c r="B780" s="47"/>
    </row>
    <row r="781">
      <c r="B781" s="47"/>
    </row>
    <row r="782">
      <c r="B782" s="47"/>
    </row>
    <row r="783">
      <c r="B783" s="47"/>
    </row>
    <row r="784">
      <c r="B784" s="47"/>
    </row>
    <row r="785">
      <c r="B785" s="47"/>
    </row>
    <row r="786">
      <c r="B786" s="47"/>
    </row>
    <row r="787">
      <c r="B787" s="47"/>
    </row>
    <row r="788">
      <c r="B788" s="47"/>
    </row>
    <row r="789">
      <c r="B789" s="47"/>
    </row>
    <row r="790">
      <c r="B790" s="47"/>
    </row>
    <row r="791">
      <c r="B791" s="47"/>
    </row>
    <row r="792">
      <c r="B792" s="47"/>
    </row>
    <row r="793">
      <c r="B793" s="47"/>
    </row>
    <row r="794">
      <c r="B794" s="47"/>
    </row>
    <row r="795">
      <c r="B795" s="47"/>
    </row>
    <row r="796">
      <c r="B796" s="47"/>
    </row>
    <row r="797">
      <c r="B797" s="47"/>
    </row>
    <row r="798">
      <c r="B798" s="47"/>
    </row>
    <row r="799">
      <c r="B799" s="47"/>
    </row>
    <row r="800">
      <c r="B800" s="47"/>
    </row>
    <row r="801">
      <c r="B801" s="47"/>
    </row>
    <row r="802">
      <c r="B802" s="47"/>
    </row>
    <row r="803">
      <c r="B803" s="47"/>
    </row>
    <row r="804">
      <c r="B804" s="47"/>
    </row>
    <row r="805">
      <c r="B805" s="47"/>
    </row>
    <row r="806">
      <c r="B806" s="47"/>
    </row>
    <row r="807">
      <c r="B807" s="47"/>
    </row>
    <row r="808">
      <c r="B808" s="47"/>
    </row>
    <row r="809">
      <c r="B809" s="47"/>
    </row>
    <row r="810">
      <c r="B810" s="47"/>
    </row>
    <row r="811">
      <c r="B811" s="47"/>
    </row>
    <row r="812">
      <c r="B812" s="47"/>
    </row>
    <row r="813">
      <c r="B813" s="47"/>
    </row>
    <row r="814">
      <c r="B814" s="47"/>
    </row>
    <row r="815">
      <c r="B815" s="47"/>
    </row>
    <row r="816">
      <c r="B816" s="47"/>
    </row>
    <row r="817">
      <c r="B817" s="47"/>
    </row>
    <row r="818">
      <c r="B818" s="47"/>
    </row>
    <row r="819">
      <c r="B819" s="47"/>
    </row>
    <row r="820">
      <c r="B820" s="47"/>
    </row>
    <row r="821">
      <c r="B821" s="47"/>
    </row>
    <row r="822">
      <c r="B822" s="47"/>
    </row>
    <row r="823">
      <c r="B823" s="47"/>
    </row>
    <row r="824">
      <c r="B824" s="47"/>
    </row>
    <row r="825">
      <c r="B825" s="47"/>
    </row>
    <row r="826">
      <c r="B826" s="47"/>
    </row>
    <row r="827">
      <c r="B827" s="47"/>
    </row>
    <row r="828">
      <c r="B828" s="47"/>
    </row>
    <row r="829">
      <c r="B829" s="47"/>
    </row>
    <row r="830">
      <c r="B830" s="47"/>
    </row>
    <row r="831">
      <c r="B831" s="47"/>
    </row>
    <row r="832">
      <c r="B832" s="47"/>
    </row>
    <row r="833">
      <c r="B833" s="47"/>
    </row>
    <row r="834">
      <c r="B834" s="47"/>
    </row>
    <row r="835">
      <c r="B835" s="47"/>
    </row>
    <row r="836">
      <c r="B836" s="47"/>
    </row>
    <row r="837">
      <c r="B837" s="47"/>
    </row>
    <row r="838">
      <c r="B838" s="47"/>
    </row>
    <row r="839">
      <c r="B839" s="47"/>
    </row>
    <row r="840">
      <c r="B840" s="47"/>
    </row>
    <row r="841">
      <c r="B841" s="47"/>
    </row>
    <row r="842">
      <c r="B842" s="47"/>
    </row>
    <row r="843">
      <c r="B843" s="47"/>
    </row>
    <row r="844">
      <c r="B844" s="47"/>
    </row>
    <row r="845">
      <c r="B845" s="47"/>
    </row>
    <row r="846">
      <c r="B846" s="47"/>
    </row>
    <row r="847">
      <c r="B847" s="47"/>
    </row>
    <row r="848">
      <c r="B848" s="47"/>
    </row>
    <row r="849">
      <c r="B849" s="47"/>
    </row>
    <row r="850">
      <c r="B850" s="47"/>
    </row>
    <row r="851">
      <c r="B851" s="47"/>
    </row>
    <row r="852">
      <c r="B852" s="47"/>
    </row>
    <row r="853">
      <c r="B853" s="47"/>
    </row>
    <row r="854">
      <c r="B854" s="47"/>
    </row>
    <row r="855">
      <c r="B855" s="47"/>
    </row>
    <row r="856">
      <c r="B856" s="47"/>
    </row>
    <row r="857">
      <c r="B857" s="47"/>
    </row>
    <row r="858">
      <c r="B858" s="47"/>
    </row>
    <row r="859">
      <c r="B859" s="47"/>
    </row>
    <row r="860">
      <c r="B860" s="47"/>
    </row>
    <row r="861">
      <c r="B861" s="47"/>
    </row>
    <row r="862">
      <c r="B862" s="47"/>
    </row>
    <row r="863">
      <c r="B863" s="47"/>
    </row>
    <row r="864">
      <c r="B864" s="47"/>
    </row>
    <row r="865">
      <c r="B865" s="47"/>
    </row>
    <row r="866">
      <c r="B866" s="47"/>
    </row>
    <row r="867">
      <c r="B867" s="47"/>
    </row>
    <row r="868">
      <c r="B868" s="47"/>
    </row>
    <row r="869">
      <c r="B869" s="47"/>
    </row>
    <row r="870">
      <c r="B870" s="47"/>
    </row>
    <row r="871">
      <c r="B871" s="47"/>
    </row>
    <row r="872">
      <c r="B872" s="47"/>
    </row>
    <row r="873">
      <c r="B873" s="47"/>
    </row>
    <row r="874">
      <c r="B874" s="47"/>
    </row>
    <row r="875">
      <c r="B875" s="47"/>
    </row>
    <row r="876">
      <c r="B876" s="47"/>
    </row>
    <row r="877">
      <c r="B877" s="47"/>
    </row>
    <row r="878">
      <c r="B878" s="47"/>
    </row>
    <row r="879">
      <c r="B879" s="47"/>
    </row>
    <row r="880">
      <c r="B880" s="47"/>
    </row>
    <row r="881">
      <c r="B881" s="47"/>
    </row>
    <row r="882">
      <c r="B882" s="47"/>
    </row>
    <row r="883">
      <c r="B883" s="47"/>
    </row>
    <row r="884">
      <c r="B884" s="47"/>
    </row>
    <row r="885">
      <c r="B885" s="47"/>
    </row>
    <row r="886">
      <c r="B886" s="47"/>
    </row>
    <row r="887">
      <c r="B887" s="47"/>
    </row>
    <row r="888">
      <c r="B888" s="47"/>
    </row>
    <row r="889">
      <c r="B889" s="47"/>
    </row>
    <row r="890">
      <c r="B890" s="47"/>
    </row>
    <row r="891">
      <c r="B891" s="47"/>
    </row>
    <row r="892">
      <c r="B892" s="47"/>
    </row>
    <row r="893">
      <c r="B893" s="47"/>
    </row>
    <row r="894">
      <c r="B894" s="47"/>
    </row>
    <row r="895">
      <c r="B895" s="47"/>
    </row>
    <row r="896">
      <c r="B896" s="47"/>
    </row>
    <row r="897">
      <c r="B897" s="47"/>
    </row>
    <row r="898">
      <c r="B898" s="47"/>
    </row>
    <row r="899">
      <c r="B899" s="47"/>
    </row>
    <row r="900">
      <c r="B900" s="47"/>
    </row>
    <row r="901">
      <c r="B901" s="47"/>
    </row>
    <row r="902">
      <c r="B902" s="47"/>
    </row>
    <row r="903">
      <c r="B903" s="47"/>
    </row>
    <row r="904">
      <c r="B904" s="47"/>
    </row>
    <row r="905">
      <c r="B905" s="47"/>
    </row>
    <row r="906">
      <c r="B906" s="47"/>
    </row>
    <row r="907">
      <c r="B907" s="47"/>
    </row>
    <row r="908">
      <c r="B908" s="47"/>
    </row>
    <row r="909">
      <c r="B909" s="47"/>
    </row>
    <row r="910">
      <c r="B910" s="47"/>
    </row>
    <row r="911">
      <c r="B911" s="47"/>
    </row>
    <row r="912">
      <c r="B912" s="47"/>
    </row>
    <row r="913">
      <c r="B913" s="47"/>
    </row>
    <row r="914">
      <c r="B914" s="47"/>
    </row>
    <row r="915">
      <c r="B915" s="47"/>
    </row>
    <row r="916">
      <c r="B916" s="47"/>
    </row>
    <row r="917">
      <c r="B917" s="47"/>
    </row>
    <row r="918">
      <c r="B918" s="47"/>
    </row>
    <row r="919">
      <c r="B919" s="47"/>
    </row>
    <row r="920">
      <c r="B920" s="47"/>
    </row>
    <row r="921">
      <c r="B921" s="47"/>
    </row>
    <row r="922">
      <c r="B922" s="47"/>
    </row>
    <row r="923">
      <c r="B923" s="47"/>
    </row>
    <row r="924">
      <c r="B924" s="47"/>
    </row>
    <row r="925">
      <c r="B925" s="47"/>
    </row>
    <row r="926">
      <c r="B926" s="47"/>
    </row>
    <row r="927">
      <c r="B927" s="47"/>
    </row>
    <row r="928">
      <c r="B928" s="47"/>
    </row>
    <row r="929">
      <c r="B929" s="47"/>
    </row>
    <row r="930">
      <c r="B930" s="47"/>
    </row>
    <row r="931">
      <c r="B931" s="47"/>
    </row>
    <row r="932">
      <c r="B932" s="47"/>
    </row>
    <row r="933">
      <c r="B933" s="47"/>
    </row>
    <row r="934">
      <c r="B934" s="47"/>
    </row>
    <row r="935">
      <c r="B935" s="47"/>
    </row>
    <row r="936">
      <c r="B936" s="47"/>
    </row>
    <row r="937">
      <c r="B937" s="47"/>
    </row>
    <row r="938">
      <c r="B938" s="47"/>
    </row>
    <row r="939">
      <c r="B939" s="47"/>
    </row>
    <row r="940">
      <c r="B940" s="47"/>
    </row>
    <row r="941">
      <c r="B941" s="47"/>
    </row>
    <row r="942">
      <c r="B942" s="47"/>
    </row>
    <row r="943">
      <c r="B943" s="47"/>
    </row>
    <row r="944">
      <c r="B944" s="47"/>
    </row>
    <row r="945">
      <c r="B945" s="47"/>
    </row>
    <row r="946">
      <c r="B946" s="47"/>
    </row>
    <row r="947">
      <c r="B947" s="47"/>
    </row>
    <row r="948">
      <c r="B948" s="47"/>
    </row>
    <row r="949">
      <c r="B949" s="47"/>
    </row>
    <row r="950">
      <c r="B950" s="47"/>
    </row>
    <row r="951">
      <c r="B951" s="47"/>
    </row>
    <row r="952">
      <c r="B952" s="47"/>
    </row>
    <row r="953">
      <c r="B953" s="47"/>
    </row>
    <row r="954">
      <c r="B954" s="47"/>
    </row>
    <row r="955">
      <c r="B955" s="47"/>
    </row>
    <row r="956">
      <c r="B956" s="47"/>
    </row>
    <row r="957">
      <c r="B957" s="47"/>
    </row>
    <row r="958">
      <c r="B958" s="47"/>
    </row>
    <row r="959">
      <c r="B959" s="47"/>
    </row>
    <row r="960">
      <c r="B960" s="47"/>
    </row>
    <row r="961">
      <c r="B961" s="47"/>
    </row>
    <row r="962">
      <c r="B962" s="47"/>
    </row>
    <row r="963">
      <c r="B963" s="47"/>
    </row>
    <row r="964">
      <c r="B964" s="47"/>
    </row>
    <row r="965">
      <c r="B965" s="47"/>
    </row>
    <row r="966">
      <c r="B966" s="47"/>
    </row>
    <row r="967">
      <c r="B967" s="47"/>
    </row>
    <row r="968">
      <c r="B968" s="47"/>
    </row>
    <row r="969">
      <c r="B969" s="47"/>
    </row>
    <row r="970">
      <c r="B970" s="47"/>
    </row>
    <row r="971">
      <c r="B971" s="47"/>
    </row>
    <row r="972">
      <c r="B972" s="47"/>
    </row>
    <row r="973">
      <c r="B973" s="47"/>
    </row>
    <row r="974">
      <c r="B974" s="47"/>
    </row>
    <row r="975">
      <c r="B975" s="47"/>
    </row>
    <row r="976">
      <c r="B976" s="47"/>
    </row>
    <row r="977">
      <c r="B977" s="47"/>
    </row>
    <row r="978">
      <c r="B978" s="47"/>
    </row>
    <row r="979">
      <c r="B979" s="47"/>
    </row>
    <row r="980">
      <c r="B980" s="47"/>
    </row>
    <row r="981">
      <c r="B981" s="47"/>
    </row>
    <row r="982">
      <c r="B982" s="47"/>
    </row>
    <row r="983">
      <c r="B983" s="47"/>
    </row>
    <row r="984">
      <c r="B984" s="47"/>
    </row>
    <row r="985">
      <c r="B985" s="47"/>
    </row>
    <row r="986">
      <c r="B986" s="47"/>
    </row>
    <row r="987">
      <c r="B987" s="47"/>
    </row>
    <row r="988">
      <c r="B988" s="47"/>
    </row>
    <row r="989">
      <c r="B989" s="47"/>
    </row>
    <row r="990">
      <c r="B990" s="47"/>
    </row>
    <row r="991">
      <c r="B991" s="47"/>
    </row>
    <row r="992">
      <c r="B992" s="47"/>
    </row>
    <row r="993">
      <c r="B993" s="47"/>
    </row>
    <row r="994">
      <c r="B994" s="47"/>
    </row>
    <row r="995">
      <c r="B995" s="47"/>
    </row>
    <row r="996">
      <c r="B996" s="47"/>
    </row>
    <row r="997">
      <c r="B997" s="47"/>
    </row>
    <row r="998">
      <c r="B998" s="47"/>
    </row>
    <row r="999">
      <c r="B999" s="47"/>
    </row>
    <row r="1000">
      <c r="B1000" s="47"/>
    </row>
  </sheetData>
  <dataValidations>
    <dataValidation type="list" allowBlank="1" sqref="A2:A201">
      <formula1>"LATAM,EUR"</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4.5"/>
    <col customWidth="1" min="3" max="3" width="10.5"/>
    <col customWidth="1" min="4" max="26" width="7.63"/>
  </cols>
  <sheetData>
    <row r="1">
      <c r="A1" s="511" t="s">
        <v>1182</v>
      </c>
      <c r="B1" s="511" t="s">
        <v>150</v>
      </c>
      <c r="C1" s="511" t="s">
        <v>1176</v>
      </c>
    </row>
    <row r="2">
      <c r="A2" s="515" t="s">
        <v>1185</v>
      </c>
      <c r="B2" s="515" t="s">
        <v>159</v>
      </c>
      <c r="C2" s="515" t="s">
        <v>1183</v>
      </c>
    </row>
    <row r="3">
      <c r="A3" s="515" t="s">
        <v>1187</v>
      </c>
      <c r="B3" s="515" t="s">
        <v>210</v>
      </c>
      <c r="C3" s="515" t="s">
        <v>1183</v>
      </c>
    </row>
    <row r="4">
      <c r="A4" s="515" t="s">
        <v>1189</v>
      </c>
      <c r="B4" s="515" t="s">
        <v>217</v>
      </c>
      <c r="C4" s="515" t="s">
        <v>1183</v>
      </c>
    </row>
    <row r="5">
      <c r="A5" s="515" t="s">
        <v>1191</v>
      </c>
      <c r="B5" s="515" t="s">
        <v>225</v>
      </c>
      <c r="C5" s="515" t="s">
        <v>1183</v>
      </c>
    </row>
    <row r="6">
      <c r="A6" s="515" t="s">
        <v>1192</v>
      </c>
      <c r="B6" s="515" t="s">
        <v>233</v>
      </c>
      <c r="C6" s="515" t="s">
        <v>1183</v>
      </c>
    </row>
    <row r="7">
      <c r="A7" s="515" t="s">
        <v>1193</v>
      </c>
      <c r="B7" s="515" t="s">
        <v>239</v>
      </c>
      <c r="C7" s="515" t="s">
        <v>1183</v>
      </c>
    </row>
    <row r="8">
      <c r="A8" s="515" t="s">
        <v>1194</v>
      </c>
      <c r="B8" s="515" t="s">
        <v>247</v>
      </c>
      <c r="C8" s="515" t="s">
        <v>1183</v>
      </c>
    </row>
    <row r="9">
      <c r="A9" s="515" t="s">
        <v>1195</v>
      </c>
      <c r="B9" s="515" t="s">
        <v>255</v>
      </c>
      <c r="C9" s="515" t="s">
        <v>1183</v>
      </c>
    </row>
    <row r="10">
      <c r="A10" s="515" t="s">
        <v>1196</v>
      </c>
      <c r="B10" s="515" t="s">
        <v>255</v>
      </c>
      <c r="C10" s="515" t="s">
        <v>1183</v>
      </c>
    </row>
    <row r="11">
      <c r="A11" s="515" t="s">
        <v>1197</v>
      </c>
      <c r="B11" s="515" t="s">
        <v>255</v>
      </c>
      <c r="C11" s="515" t="s">
        <v>1183</v>
      </c>
    </row>
    <row r="12">
      <c r="A12" s="515" t="s">
        <v>1198</v>
      </c>
      <c r="B12" s="515" t="s">
        <v>260</v>
      </c>
      <c r="C12" s="515" t="s">
        <v>1183</v>
      </c>
    </row>
    <row r="13">
      <c r="A13" s="515" t="s">
        <v>1199</v>
      </c>
      <c r="B13" s="515" t="s">
        <v>267</v>
      </c>
      <c r="C13" s="515" t="s">
        <v>1183</v>
      </c>
    </row>
    <row r="14">
      <c r="A14" s="515" t="s">
        <v>1200</v>
      </c>
      <c r="B14" s="515" t="s">
        <v>275</v>
      </c>
      <c r="C14" s="515" t="s">
        <v>1183</v>
      </c>
    </row>
    <row r="15">
      <c r="A15" s="515" t="s">
        <v>1201</v>
      </c>
      <c r="B15" s="515" t="s">
        <v>283</v>
      </c>
      <c r="C15" s="515" t="s">
        <v>1183</v>
      </c>
    </row>
    <row r="16">
      <c r="A16" s="515" t="s">
        <v>1202</v>
      </c>
      <c r="B16" s="515" t="s">
        <v>290</v>
      </c>
      <c r="C16" s="515" t="s">
        <v>1183</v>
      </c>
    </row>
    <row r="17">
      <c r="A17" s="515" t="s">
        <v>1203</v>
      </c>
      <c r="B17" s="515" t="s">
        <v>297</v>
      </c>
      <c r="C17" s="515" t="s">
        <v>1183</v>
      </c>
    </row>
    <row r="18">
      <c r="A18" s="515" t="s">
        <v>1204</v>
      </c>
      <c r="B18" s="515" t="s">
        <v>305</v>
      </c>
      <c r="C18" s="515" t="s">
        <v>1183</v>
      </c>
    </row>
    <row r="19">
      <c r="A19" s="515" t="s">
        <v>1205</v>
      </c>
      <c r="B19" s="515" t="s">
        <v>312</v>
      </c>
      <c r="C19" s="515" t="s">
        <v>1183</v>
      </c>
    </row>
    <row r="20">
      <c r="A20" s="515" t="s">
        <v>1206</v>
      </c>
      <c r="B20" s="515" t="s">
        <v>319</v>
      </c>
      <c r="C20" s="515" t="s">
        <v>1183</v>
      </c>
    </row>
    <row r="21">
      <c r="A21" s="515" t="s">
        <v>1207</v>
      </c>
      <c r="B21" s="515" t="s">
        <v>328</v>
      </c>
      <c r="C21" s="515" t="s">
        <v>1183</v>
      </c>
    </row>
    <row r="22">
      <c r="A22" s="515" t="s">
        <v>1208</v>
      </c>
      <c r="B22" s="515" t="s">
        <v>336</v>
      </c>
      <c r="C22" s="515" t="s">
        <v>1183</v>
      </c>
    </row>
    <row r="23">
      <c r="A23" s="515" t="s">
        <v>1209</v>
      </c>
      <c r="B23" s="515" t="s">
        <v>350</v>
      </c>
      <c r="C23" s="515" t="s">
        <v>1183</v>
      </c>
    </row>
    <row r="24">
      <c r="A24" s="515" t="s">
        <v>1210</v>
      </c>
      <c r="B24" s="515" t="s">
        <v>350</v>
      </c>
      <c r="C24" s="515" t="s">
        <v>1183</v>
      </c>
    </row>
    <row r="25">
      <c r="A25" s="515" t="s">
        <v>1211</v>
      </c>
      <c r="B25" s="515" t="s">
        <v>356</v>
      </c>
      <c r="C25" s="515" t="s">
        <v>1183</v>
      </c>
    </row>
    <row r="26">
      <c r="A26" s="515" t="s">
        <v>1212</v>
      </c>
      <c r="B26" s="515" t="s">
        <v>362</v>
      </c>
      <c r="C26" s="515" t="s">
        <v>1183</v>
      </c>
    </row>
    <row r="27">
      <c r="A27" s="515" t="s">
        <v>1213</v>
      </c>
      <c r="B27" s="515" t="s">
        <v>203</v>
      </c>
      <c r="C27" s="515" t="s">
        <v>6</v>
      </c>
    </row>
    <row r="28">
      <c r="A28" s="515" t="s">
        <v>1214</v>
      </c>
      <c r="B28" s="515" t="s">
        <v>214</v>
      </c>
      <c r="C28" s="515" t="s">
        <v>6</v>
      </c>
    </row>
    <row r="29">
      <c r="A29" s="515" t="s">
        <v>1215</v>
      </c>
      <c r="B29" s="515" t="s">
        <v>221</v>
      </c>
      <c r="C29" s="515" t="s">
        <v>6</v>
      </c>
    </row>
    <row r="30">
      <c r="A30" s="515" t="s">
        <v>1216</v>
      </c>
      <c r="B30" s="515" t="s">
        <v>228</v>
      </c>
      <c r="C30" s="515" t="s">
        <v>6</v>
      </c>
    </row>
    <row r="31">
      <c r="A31" s="515" t="s">
        <v>1217</v>
      </c>
      <c r="B31" s="515" t="s">
        <v>235</v>
      </c>
      <c r="C31" s="515" t="s">
        <v>6</v>
      </c>
    </row>
    <row r="32">
      <c r="A32" s="515" t="s">
        <v>1218</v>
      </c>
      <c r="B32" s="515" t="s">
        <v>243</v>
      </c>
      <c r="C32" s="515" t="s">
        <v>6</v>
      </c>
    </row>
    <row r="33">
      <c r="A33" s="515" t="s">
        <v>1219</v>
      </c>
      <c r="B33" s="515" t="s">
        <v>252</v>
      </c>
      <c r="C33" s="515" t="s">
        <v>6</v>
      </c>
    </row>
    <row r="34">
      <c r="A34" s="515" t="s">
        <v>1220</v>
      </c>
      <c r="B34" s="515" t="s">
        <v>258</v>
      </c>
      <c r="C34" s="515" t="s">
        <v>6</v>
      </c>
    </row>
    <row r="35">
      <c r="A35" s="515" t="s">
        <v>1221</v>
      </c>
      <c r="B35" s="515" t="s">
        <v>263</v>
      </c>
      <c r="C35" s="515" t="s">
        <v>6</v>
      </c>
    </row>
    <row r="36">
      <c r="A36" s="515" t="s">
        <v>1222</v>
      </c>
      <c r="B36" s="515" t="s">
        <v>270</v>
      </c>
      <c r="C36" s="515" t="s">
        <v>6</v>
      </c>
    </row>
    <row r="37">
      <c r="A37" s="515" t="s">
        <v>1223</v>
      </c>
      <c r="B37" s="515" t="s">
        <v>279</v>
      </c>
      <c r="C37" s="515" t="s">
        <v>6</v>
      </c>
    </row>
    <row r="38">
      <c r="A38" s="515" t="s">
        <v>1224</v>
      </c>
      <c r="B38" s="515" t="s">
        <v>287</v>
      </c>
      <c r="C38" s="515" t="s">
        <v>6</v>
      </c>
    </row>
    <row r="39">
      <c r="A39" s="515" t="s">
        <v>1225</v>
      </c>
      <c r="B39" s="515" t="s">
        <v>294</v>
      </c>
      <c r="C39" s="515" t="s">
        <v>6</v>
      </c>
    </row>
    <row r="40">
      <c r="A40" s="515" t="s">
        <v>1226</v>
      </c>
      <c r="B40" s="515" t="s">
        <v>302</v>
      </c>
      <c r="C40" s="515" t="s">
        <v>6</v>
      </c>
    </row>
    <row r="41">
      <c r="A41" s="515" t="s">
        <v>1227</v>
      </c>
      <c r="B41" s="515" t="s">
        <v>309</v>
      </c>
      <c r="C41" s="515" t="s">
        <v>6</v>
      </c>
    </row>
    <row r="42">
      <c r="A42" s="515" t="s">
        <v>1228</v>
      </c>
      <c r="B42" s="515" t="s">
        <v>316</v>
      </c>
      <c r="C42" s="515" t="s">
        <v>6</v>
      </c>
    </row>
    <row r="43">
      <c r="A43" s="515" t="s">
        <v>1229</v>
      </c>
      <c r="B43" s="515" t="s">
        <v>324</v>
      </c>
      <c r="C43" s="515" t="s">
        <v>6</v>
      </c>
    </row>
    <row r="44">
      <c r="A44" s="515" t="s">
        <v>1230</v>
      </c>
      <c r="B44" s="515" t="s">
        <v>331</v>
      </c>
      <c r="C44" s="515" t="s">
        <v>6</v>
      </c>
    </row>
    <row r="45">
      <c r="A45" s="515" t="s">
        <v>1231</v>
      </c>
      <c r="B45" s="515" t="s">
        <v>348</v>
      </c>
      <c r="C45" s="515" t="s">
        <v>6</v>
      </c>
    </row>
    <row r="46">
      <c r="A46" s="515" t="s">
        <v>1232</v>
      </c>
      <c r="B46" s="515" t="s">
        <v>353</v>
      </c>
      <c r="C46" s="515" t="s">
        <v>6</v>
      </c>
    </row>
    <row r="47">
      <c r="A47" s="515" t="s">
        <v>1233</v>
      </c>
      <c r="B47" s="515" t="s">
        <v>359</v>
      </c>
      <c r="C47" s="515" t="s">
        <v>6</v>
      </c>
    </row>
    <row r="48">
      <c r="A48" s="515" t="s">
        <v>1234</v>
      </c>
      <c r="B48" s="515" t="s">
        <v>365</v>
      </c>
      <c r="C48" s="515" t="s">
        <v>6</v>
      </c>
    </row>
    <row r="49">
      <c r="A49" s="515" t="s">
        <v>1235</v>
      </c>
      <c r="B49" s="515" t="s">
        <v>370</v>
      </c>
      <c r="C49" s="515" t="s">
        <v>6</v>
      </c>
    </row>
    <row r="50">
      <c r="A50" s="515" t="s">
        <v>1236</v>
      </c>
      <c r="B50" s="515" t="s">
        <v>374</v>
      </c>
      <c r="C50" s="515" t="s">
        <v>6</v>
      </c>
    </row>
    <row r="51">
      <c r="A51" s="515" t="s">
        <v>1237</v>
      </c>
      <c r="B51" s="515" t="s">
        <v>378</v>
      </c>
      <c r="C51" s="515" t="s">
        <v>6</v>
      </c>
    </row>
    <row r="52">
      <c r="A52" s="515" t="s">
        <v>1238</v>
      </c>
      <c r="B52" s="515" t="s">
        <v>383</v>
      </c>
      <c r="C52" s="515" t="s">
        <v>6</v>
      </c>
    </row>
    <row r="53">
      <c r="A53" s="515" t="s">
        <v>1239</v>
      </c>
      <c r="B53" s="515" t="s">
        <v>406</v>
      </c>
      <c r="C53" s="515" t="s">
        <v>6</v>
      </c>
    </row>
    <row r="54">
      <c r="A54" s="515" t="s">
        <v>1240</v>
      </c>
      <c r="B54" s="515" t="s">
        <v>414</v>
      </c>
      <c r="C54" s="515" t="s">
        <v>6</v>
      </c>
    </row>
    <row r="55">
      <c r="A55" s="515" t="s">
        <v>1241</v>
      </c>
      <c r="B55" s="515" t="s">
        <v>416</v>
      </c>
      <c r="C55" s="515" t="s">
        <v>6</v>
      </c>
    </row>
    <row r="56">
      <c r="A56" s="515" t="s">
        <v>1242</v>
      </c>
      <c r="B56" s="515" t="s">
        <v>422</v>
      </c>
      <c r="C56" s="515" t="s">
        <v>6</v>
      </c>
    </row>
    <row r="57">
      <c r="A57" s="515" t="s">
        <v>1243</v>
      </c>
      <c r="B57" s="515" t="s">
        <v>428</v>
      </c>
      <c r="C57" s="515" t="s">
        <v>6</v>
      </c>
    </row>
    <row r="58">
      <c r="A58" s="515" t="s">
        <v>1244</v>
      </c>
      <c r="B58" s="515" t="s">
        <v>431</v>
      </c>
      <c r="C58" s="515" t="s">
        <v>6</v>
      </c>
    </row>
    <row r="59">
      <c r="A59" s="515" t="s">
        <v>1245</v>
      </c>
      <c r="B59" s="515" t="s">
        <v>437</v>
      </c>
      <c r="C59" s="515" t="s">
        <v>6</v>
      </c>
    </row>
    <row r="60">
      <c r="A60" s="515" t="s">
        <v>1246</v>
      </c>
      <c r="B60" s="515" t="s">
        <v>439</v>
      </c>
      <c r="C60" s="515" t="s">
        <v>6</v>
      </c>
    </row>
    <row r="61">
      <c r="A61" s="515" t="s">
        <v>1247</v>
      </c>
      <c r="B61" s="515" t="s">
        <v>443</v>
      </c>
      <c r="C61" s="515" t="s">
        <v>6</v>
      </c>
    </row>
    <row r="62">
      <c r="A62" s="515" t="s">
        <v>1248</v>
      </c>
      <c r="B62" s="515" t="s">
        <v>445</v>
      </c>
      <c r="C62" s="515" t="s">
        <v>6</v>
      </c>
    </row>
    <row r="63">
      <c r="A63" s="515" t="s">
        <v>1249</v>
      </c>
      <c r="B63" s="515" t="s">
        <v>467</v>
      </c>
      <c r="C63" s="515" t="s">
        <v>6</v>
      </c>
    </row>
    <row r="64">
      <c r="A64" s="515" t="s">
        <v>1250</v>
      </c>
      <c r="B64" s="515" t="s">
        <v>471</v>
      </c>
      <c r="C64" s="515" t="s">
        <v>6</v>
      </c>
    </row>
    <row r="65">
      <c r="A65" s="515" t="s">
        <v>1251</v>
      </c>
      <c r="B65" s="515" t="s">
        <v>474</v>
      </c>
      <c r="C65" s="515" t="s">
        <v>6</v>
      </c>
    </row>
    <row r="66">
      <c r="A66" s="515" t="s">
        <v>1252</v>
      </c>
      <c r="B66" s="515" t="s">
        <v>477</v>
      </c>
      <c r="C66" s="515" t="s">
        <v>6</v>
      </c>
    </row>
    <row r="67">
      <c r="A67" s="515" t="s">
        <v>1253</v>
      </c>
      <c r="B67" s="515" t="s">
        <v>480</v>
      </c>
      <c r="C67" s="515" t="s">
        <v>6</v>
      </c>
    </row>
    <row r="68">
      <c r="A68" s="515" t="s">
        <v>1254</v>
      </c>
      <c r="B68" s="515" t="s">
        <v>483</v>
      </c>
      <c r="C68" s="515" t="s">
        <v>6</v>
      </c>
    </row>
    <row r="69">
      <c r="A69" s="515" t="s">
        <v>1255</v>
      </c>
      <c r="B69" s="515" t="s">
        <v>487</v>
      </c>
      <c r="C69" s="515" t="s">
        <v>6</v>
      </c>
    </row>
    <row r="70">
      <c r="A70" s="515" t="s">
        <v>1256</v>
      </c>
      <c r="B70" s="515" t="s">
        <v>491</v>
      </c>
      <c r="C70" s="515" t="s">
        <v>6</v>
      </c>
    </row>
    <row r="71">
      <c r="A71" s="515" t="s">
        <v>1257</v>
      </c>
      <c r="B71" s="515" t="s">
        <v>493</v>
      </c>
      <c r="C71" s="515" t="s">
        <v>6</v>
      </c>
    </row>
    <row r="72">
      <c r="A72" s="515" t="s">
        <v>1258</v>
      </c>
      <c r="B72" s="515" t="s">
        <v>497</v>
      </c>
      <c r="C72" s="515" t="s">
        <v>6</v>
      </c>
    </row>
    <row r="73">
      <c r="A73" s="515" t="s">
        <v>1259</v>
      </c>
      <c r="B73" s="515" t="s">
        <v>502</v>
      </c>
      <c r="C73" s="515" t="s">
        <v>6</v>
      </c>
    </row>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2.75"/>
    <col customWidth="1" min="3" max="3" width="21.0"/>
    <col customWidth="1" min="4" max="4" width="12.25"/>
    <col customWidth="1" min="5" max="5" width="33.25"/>
    <col customWidth="1" min="6" max="26" width="7.63"/>
  </cols>
  <sheetData>
    <row r="1">
      <c r="A1" s="511" t="s">
        <v>1176</v>
      </c>
      <c r="B1" s="511" t="s">
        <v>1260</v>
      </c>
      <c r="C1" s="511" t="s">
        <v>150</v>
      </c>
      <c r="D1" s="511" t="s">
        <v>1179</v>
      </c>
      <c r="E1" s="511" t="s">
        <v>1180</v>
      </c>
    </row>
    <row r="2">
      <c r="A2" s="515" t="s">
        <v>6</v>
      </c>
      <c r="B2" s="515" t="s">
        <v>1261</v>
      </c>
      <c r="C2" s="515" t="s">
        <v>497</v>
      </c>
      <c r="D2" s="515" t="s">
        <v>1262</v>
      </c>
      <c r="E2" s="515" t="s">
        <v>1263</v>
      </c>
    </row>
    <row r="3">
      <c r="A3" s="515" t="s">
        <v>6</v>
      </c>
      <c r="B3" s="515" t="s">
        <v>1264</v>
      </c>
      <c r="C3" s="515" t="s">
        <v>353</v>
      </c>
      <c r="D3" s="515" t="s">
        <v>1262</v>
      </c>
      <c r="E3" s="515" t="s">
        <v>1265</v>
      </c>
    </row>
    <row r="4">
      <c r="A4" s="515" t="s">
        <v>6</v>
      </c>
      <c r="B4" s="515" t="s">
        <v>1266</v>
      </c>
      <c r="C4" s="515" t="s">
        <v>480</v>
      </c>
      <c r="D4" s="515" t="s">
        <v>1262</v>
      </c>
      <c r="E4" s="515" t="s">
        <v>1267</v>
      </c>
    </row>
    <row r="5">
      <c r="A5" s="515" t="s">
        <v>6</v>
      </c>
      <c r="B5" s="515" t="s">
        <v>1268</v>
      </c>
      <c r="C5" s="515" t="s">
        <v>302</v>
      </c>
      <c r="D5" s="515" t="s">
        <v>1269</v>
      </c>
      <c r="E5" s="515" t="s">
        <v>1270</v>
      </c>
    </row>
    <row r="6">
      <c r="A6" s="515" t="s">
        <v>6</v>
      </c>
      <c r="B6" s="515" t="s">
        <v>1271</v>
      </c>
      <c r="C6" s="515" t="s">
        <v>443</v>
      </c>
      <c r="D6" s="515" t="s">
        <v>1262</v>
      </c>
      <c r="E6" s="515" t="s">
        <v>1272</v>
      </c>
    </row>
    <row r="7">
      <c r="A7" s="515" t="s">
        <v>6</v>
      </c>
      <c r="B7" s="515" t="s">
        <v>1273</v>
      </c>
      <c r="C7" s="515" t="s">
        <v>445</v>
      </c>
      <c r="D7" s="515" t="s">
        <v>1262</v>
      </c>
      <c r="E7" s="515" t="s">
        <v>1274</v>
      </c>
    </row>
    <row r="8">
      <c r="A8" s="515" t="s">
        <v>1183</v>
      </c>
      <c r="B8" s="515" t="s">
        <v>1275</v>
      </c>
      <c r="C8" s="515" t="s">
        <v>260</v>
      </c>
      <c r="D8" s="515" t="s">
        <v>1262</v>
      </c>
      <c r="E8" s="515" t="s">
        <v>1276</v>
      </c>
    </row>
    <row r="9">
      <c r="A9" s="515" t="s">
        <v>1183</v>
      </c>
      <c r="B9" s="515" t="s">
        <v>1271</v>
      </c>
      <c r="C9" s="515" t="s">
        <v>336</v>
      </c>
      <c r="D9" s="515" t="s">
        <v>1262</v>
      </c>
      <c r="E9" s="515" t="s">
        <v>1277</v>
      </c>
    </row>
    <row r="10">
      <c r="A10" s="515" t="s">
        <v>1183</v>
      </c>
      <c r="B10" s="515" t="s">
        <v>1278</v>
      </c>
      <c r="C10" s="515" t="s">
        <v>233</v>
      </c>
      <c r="D10" s="515" t="s">
        <v>1262</v>
      </c>
      <c r="E10" s="515" t="s">
        <v>1279</v>
      </c>
    </row>
    <row r="11">
      <c r="A11" s="515" t="s">
        <v>1183</v>
      </c>
      <c r="B11" s="515" t="s">
        <v>1280</v>
      </c>
      <c r="C11" s="515" t="s">
        <v>362</v>
      </c>
      <c r="D11" s="515" t="s">
        <v>1262</v>
      </c>
      <c r="E11" s="515" t="s">
        <v>1281</v>
      </c>
    </row>
    <row r="12">
      <c r="A12" s="515" t="s">
        <v>1183</v>
      </c>
      <c r="B12" s="515" t="s">
        <v>1282</v>
      </c>
      <c r="C12" s="515" t="s">
        <v>255</v>
      </c>
      <c r="D12" s="515" t="s">
        <v>1269</v>
      </c>
      <c r="E12" s="515" t="s">
        <v>1283</v>
      </c>
    </row>
    <row r="15">
      <c r="A15" s="388"/>
      <c r="B15" s="388"/>
      <c r="C15" s="388"/>
      <c r="D15" s="388"/>
      <c r="E15" s="388"/>
      <c r="F15" s="388"/>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6.25"/>
    <col customWidth="1" min="2" max="26" width="7.63"/>
  </cols>
  <sheetData>
    <row r="1">
      <c r="A1" s="518" t="s">
        <v>1284</v>
      </c>
    </row>
    <row r="3">
      <c r="A3" s="507" t="s">
        <v>1285</v>
      </c>
    </row>
    <row r="4">
      <c r="A4" s="507" t="s">
        <v>1286</v>
      </c>
    </row>
    <row r="5">
      <c r="A5" s="507"/>
    </row>
    <row r="6">
      <c r="A6" s="507" t="s">
        <v>1287</v>
      </c>
    </row>
    <row r="7">
      <c r="A7" s="507" t="s">
        <v>1288</v>
      </c>
    </row>
    <row r="8">
      <c r="A8" s="507" t="s">
        <v>1289</v>
      </c>
    </row>
    <row r="9">
      <c r="A9" s="507"/>
    </row>
    <row r="10">
      <c r="A10" s="507" t="s">
        <v>1290</v>
      </c>
    </row>
    <row r="11">
      <c r="A11" s="507" t="s">
        <v>1291</v>
      </c>
    </row>
    <row r="12">
      <c r="A12" s="507" t="s">
        <v>1292</v>
      </c>
    </row>
    <row r="13">
      <c r="A13" s="507"/>
    </row>
    <row r="14">
      <c r="A14" s="507" t="s">
        <v>1293</v>
      </c>
    </row>
    <row r="15">
      <c r="A15" s="507"/>
    </row>
    <row r="16">
      <c r="A16" s="507" t="s">
        <v>1294</v>
      </c>
    </row>
    <row r="17">
      <c r="A17" s="507" t="s">
        <v>1295</v>
      </c>
    </row>
    <row r="18">
      <c r="A18" s="507"/>
    </row>
    <row r="19">
      <c r="A19" s="507" t="s">
        <v>1296</v>
      </c>
    </row>
    <row r="20">
      <c r="A20" s="507" t="s">
        <v>1297</v>
      </c>
    </row>
    <row r="21">
      <c r="A21" s="507" t="s">
        <v>1298</v>
      </c>
    </row>
    <row r="22">
      <c r="A22" s="507"/>
    </row>
    <row r="23">
      <c r="A23" s="507" t="s">
        <v>1299</v>
      </c>
    </row>
    <row r="24">
      <c r="A24" s="507" t="s">
        <v>1300</v>
      </c>
    </row>
    <row r="25">
      <c r="A25" s="507" t="s">
        <v>1301</v>
      </c>
    </row>
    <row r="26">
      <c r="A26" s="507"/>
    </row>
    <row r="27">
      <c r="A27" s="507" t="s">
        <v>1302</v>
      </c>
    </row>
    <row r="28">
      <c r="A28" s="507" t="s">
        <v>1303</v>
      </c>
    </row>
    <row r="29">
      <c r="A29" s="507" t="s">
        <v>1304</v>
      </c>
    </row>
    <row r="30">
      <c r="A30" s="507" t="s">
        <v>1305</v>
      </c>
    </row>
    <row r="31">
      <c r="A31" s="507"/>
    </row>
    <row r="32">
      <c r="A32" s="507" t="s">
        <v>1306</v>
      </c>
    </row>
    <row r="33">
      <c r="A33" s="507" t="s">
        <v>1307</v>
      </c>
    </row>
    <row r="34">
      <c r="A34" s="507"/>
    </row>
    <row r="35">
      <c r="A35" s="507" t="s">
        <v>1308</v>
      </c>
    </row>
    <row r="36">
      <c r="A36" s="507" t="s">
        <v>1309</v>
      </c>
    </row>
    <row r="37">
      <c r="A37" s="507" t="s">
        <v>1310</v>
      </c>
    </row>
    <row r="38">
      <c r="A38" s="507" t="s">
        <v>1311</v>
      </c>
    </row>
    <row r="39">
      <c r="A39" s="507" t="s">
        <v>1312</v>
      </c>
    </row>
    <row r="40">
      <c r="A40" s="507" t="s">
        <v>1313</v>
      </c>
    </row>
    <row r="41">
      <c r="A41" s="507" t="s">
        <v>1314</v>
      </c>
    </row>
    <row r="42">
      <c r="A42" s="507" t="s">
        <v>1315</v>
      </c>
    </row>
    <row r="43">
      <c r="A43" s="507" t="s">
        <v>1316</v>
      </c>
    </row>
    <row r="44">
      <c r="A44" s="507"/>
    </row>
    <row r="45">
      <c r="A45" s="507" t="s">
        <v>1317</v>
      </c>
    </row>
    <row r="46">
      <c r="A46" s="507" t="s">
        <v>1318</v>
      </c>
    </row>
    <row r="47">
      <c r="A47" s="507" t="s">
        <v>1298</v>
      </c>
    </row>
    <row r="48">
      <c r="A48" s="507" t="s">
        <v>1319</v>
      </c>
    </row>
    <row r="49">
      <c r="A49" s="507" t="s">
        <v>1320</v>
      </c>
    </row>
    <row r="50">
      <c r="A50" s="507"/>
    </row>
    <row r="51">
      <c r="A51" s="507" t="s">
        <v>1321</v>
      </c>
    </row>
    <row r="52">
      <c r="A52" s="507" t="s">
        <v>1322</v>
      </c>
    </row>
    <row r="53">
      <c r="A53" s="507" t="s">
        <v>1320</v>
      </c>
    </row>
    <row r="54">
      <c r="A54" s="507"/>
    </row>
    <row r="55">
      <c r="A55" s="507" t="s">
        <v>1323</v>
      </c>
    </row>
    <row r="56">
      <c r="A56" s="507" t="s">
        <v>1324</v>
      </c>
    </row>
    <row r="57">
      <c r="A57" s="507" t="s">
        <v>1320</v>
      </c>
    </row>
    <row r="58">
      <c r="A58" s="507"/>
    </row>
    <row r="59">
      <c r="A59" s="507" t="s">
        <v>1325</v>
      </c>
    </row>
    <row r="60">
      <c r="A60" s="507" t="s">
        <v>1326</v>
      </c>
    </row>
    <row r="61">
      <c r="A61" s="507"/>
    </row>
    <row r="62">
      <c r="A62" s="507" t="s">
        <v>1327</v>
      </c>
    </row>
    <row r="63">
      <c r="A63" s="507" t="s">
        <v>1328</v>
      </c>
    </row>
    <row r="64">
      <c r="A64" s="507" t="s">
        <v>1329</v>
      </c>
    </row>
    <row r="65">
      <c r="A65" s="507" t="s">
        <v>1330</v>
      </c>
    </row>
    <row r="66">
      <c r="A66" s="507" t="s">
        <v>1331</v>
      </c>
    </row>
    <row r="67">
      <c r="A67" s="507"/>
    </row>
    <row r="68">
      <c r="A68" s="507" t="s">
        <v>1332</v>
      </c>
    </row>
    <row r="69">
      <c r="A69" s="507" t="s">
        <v>1333</v>
      </c>
    </row>
    <row r="70">
      <c r="A70" s="507"/>
    </row>
    <row r="71">
      <c r="A71" s="507" t="s">
        <v>1334</v>
      </c>
    </row>
    <row r="72">
      <c r="A72" s="507" t="s">
        <v>1335</v>
      </c>
    </row>
    <row r="73">
      <c r="A73" s="507" t="s">
        <v>1336</v>
      </c>
    </row>
    <row r="74">
      <c r="A74" s="507" t="s">
        <v>1337</v>
      </c>
    </row>
    <row r="75">
      <c r="A75" s="507" t="s">
        <v>1315</v>
      </c>
    </row>
    <row r="76">
      <c r="A76" s="507" t="s">
        <v>1338</v>
      </c>
    </row>
    <row r="77">
      <c r="A77" s="507" t="s">
        <v>1339</v>
      </c>
    </row>
    <row r="78">
      <c r="A78" s="507"/>
    </row>
    <row r="79">
      <c r="A79" s="507" t="s">
        <v>1340</v>
      </c>
    </row>
    <row r="80">
      <c r="A80" s="507" t="s">
        <v>1341</v>
      </c>
    </row>
    <row r="81">
      <c r="A81" s="507" t="s">
        <v>1320</v>
      </c>
    </row>
    <row r="82">
      <c r="A82" s="507"/>
    </row>
    <row r="83">
      <c r="A83" s="507" t="s">
        <v>1342</v>
      </c>
    </row>
    <row r="84">
      <c r="A84" s="507" t="s">
        <v>1343</v>
      </c>
    </row>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